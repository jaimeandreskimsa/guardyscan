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ia de Dotación" sheetId="1" r:id="rId4"/>
    <sheet state="visible" name="Dotación 2026" sheetId="2" r:id="rId5"/>
  </sheets>
  <definedNames>
    <definedName name="dotacion">'Dotación 2026'!$B$1:$V$897</definedName>
    <definedName localSheetId="0" name="dotacion">'Copia de Dotación'!$B$1:$V$898</definedName>
    <definedName hidden="1" localSheetId="0" name="_xlnm._FilterDatabase">'Copia de Dotación'!$A$2:$AN$368</definedName>
    <definedName hidden="1" localSheetId="1" name="_xlnm._FilterDatabase">'Dotación 2026'!$A$2:$AN$367</definedName>
    <definedName hidden="1" name="Google_Sheet_Link_940377407">dotacion</definedName>
  </definedNames>
  <calcPr/>
  <extLst>
    <ext uri="GoogleSheetsCustomDataVersion2">
      <go:sheetsCustomData xmlns:go="http://customooxmlschemas.google.com/" r:id="rId6" roundtripDataChecksum="Zi9oPCOQkYuo9iKleZ5zohzHoTu7/q9F3JYzPwVYqF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4">
      <text>
        <t xml:space="preserve">Última actualización de contrato pasa de SERVICLIN a ACLIN. Todo bien en fechas y cuenta con 3 contratos, por tanto, ya indefinida.
======</t>
      </text>
    </comment>
    <comment authorId="0" ref="T15">
      <text>
        <t xml:space="preserve">Última actualización de contrato pasa de SERVICLIN a ACLIN. Todo bien en fechas y cuenta con 3 contratos, por tanto, ya indefinida.
======</t>
      </text>
    </comment>
    <comment authorId="0" ref="T16">
      <text>
        <t xml:space="preserve">Falta actualizacion de contrato entre 1er contrato y 3ero. (desde 01/09/2024 a hasta 31/10/2024)
======</t>
      </text>
    </comment>
    <comment authorId="0" ref="T82">
      <text>
        <t xml:space="preserve">Tiene tres contratos.
1er contrato: Inicio 08/04/2023 y tiene en la última página 08/04/2024.
Las actualizaciones tienen fecha de 2024.
Hay que arreglar contrato original.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5">
      <text>
        <t xml:space="preserve">Última actualización de contrato pasa de SERVICLIN a ACLIN. Todo bien en fechas y cuenta con 3 contratos, por tanto, ya indefinida.
======</t>
      </text>
    </comment>
    <comment authorId="0" ref="T16">
      <text>
        <t xml:space="preserve">Falta actualizacion de contrato entre 1er contrato y 3ero. (desde 01/09/2024 a hasta 31/10/2024)
======</t>
      </text>
    </comment>
    <comment authorId="0" ref="T94">
      <text>
        <t xml:space="preserve">Tiene tres contratos.
1er contrato: Inicio 08/04/2023 y tiene en la última página 08/04/2024.
Las actualizaciones tienen fecha de 2024.
Hay que arreglar contrato original.
======</t>
      </text>
    </comment>
    <comment authorId="0" ref="T174">
      <text>
        <t xml:space="preserve">Falta 1er contrato (06/05/2024)
Matias: Tengo Actualización de 09/06/24 a 31/08/2024 y actualizacion de 01/09/2024 a indefinido
======</t>
      </text>
    </comment>
  </commentList>
</comments>
</file>

<file path=xl/sharedStrings.xml><?xml version="1.0" encoding="utf-8"?>
<sst xmlns="http://schemas.openxmlformats.org/spreadsheetml/2006/main" count="5753" uniqueCount="1169">
  <si>
    <t>DOTACIÓN 2026  |  Laboratorio Clínico ACLIN SpA  |  RUT: 79.749.170-5  |  9 Norte N°795, Viña del Mar  |  Ley Marco Ciberseguridad N°21.663</t>
  </si>
  <si>
    <t>Nombre Completo</t>
  </si>
  <si>
    <t>RUN</t>
  </si>
  <si>
    <t>País/Nacionalidad</t>
  </si>
  <si>
    <t>Fecha Nacimiento</t>
  </si>
  <si>
    <t>Edad</t>
  </si>
  <si>
    <t>Dia_nac</t>
  </si>
  <si>
    <t>Mes_nac</t>
  </si>
  <si>
    <t>Mes_nac_palabra</t>
  </si>
  <si>
    <t>Dirección</t>
  </si>
  <si>
    <t>Comuna</t>
  </si>
  <si>
    <t>Correo Electrónico</t>
  </si>
  <si>
    <t>Teléfono</t>
  </si>
  <si>
    <t>AFP</t>
  </si>
  <si>
    <t>Previsión</t>
  </si>
  <si>
    <t>Fecha Ingreso</t>
  </si>
  <si>
    <t>Antigüedad/Año</t>
  </si>
  <si>
    <t>Antigüedad/Mes</t>
  </si>
  <si>
    <t>Cargo</t>
  </si>
  <si>
    <t>Cantidad</t>
  </si>
  <si>
    <t>Razón Social Contrato</t>
  </si>
  <si>
    <t>RUT Empresa</t>
  </si>
  <si>
    <t>Evaluaciòn</t>
  </si>
  <si>
    <t>P. de Cargo</t>
  </si>
  <si>
    <t>Abigail Consuelo Alvear Donoso</t>
  </si>
  <si>
    <t>18237896-8</t>
  </si>
  <si>
    <t>Chile</t>
  </si>
  <si>
    <t>02/04/1993</t>
  </si>
  <si>
    <t>Lago Villarrica 55, Reñaca Alto</t>
  </si>
  <si>
    <t>Viña del Mar</t>
  </si>
  <si>
    <t>abyalvear@gmail.com</t>
  </si>
  <si>
    <t>Modelo</t>
  </si>
  <si>
    <t>Fonasa</t>
  </si>
  <si>
    <t>14/01/2015</t>
  </si>
  <si>
    <t>Técnico de Laboratorio Clínico</t>
  </si>
  <si>
    <t>Indefinido</t>
  </si>
  <si>
    <t>Soc. Analisis Quimico Clinicos Limitada</t>
  </si>
  <si>
    <t>79.749.170-5</t>
  </si>
  <si>
    <t>SI</t>
  </si>
  <si>
    <t>Ailimer De Jesus Velasquez Raaz</t>
  </si>
  <si>
    <t>27235568-1</t>
  </si>
  <si>
    <t>Venezuela</t>
  </si>
  <si>
    <t>calle los cisnes 855</t>
  </si>
  <si>
    <t>Concon</t>
  </si>
  <si>
    <t>ailimerv30@gmail.com</t>
  </si>
  <si>
    <t>01/03/2022</t>
  </si>
  <si>
    <t>Secretaria de Admisión</t>
  </si>
  <si>
    <t>Prestaciones y servicios Clinicos Limitada</t>
  </si>
  <si>
    <t>77.040.950-0</t>
  </si>
  <si>
    <t>Alejandra Andrea Cofré Sánchez</t>
  </si>
  <si>
    <t>17947379-8</t>
  </si>
  <si>
    <t>04/10/1986</t>
  </si>
  <si>
    <t>Ernesto Concha Allende 1830 Población Marta Colvin</t>
  </si>
  <si>
    <t>Villa Alemana</t>
  </si>
  <si>
    <t>alecofresanchez@gmail.com</t>
  </si>
  <si>
    <t>01/10/2012</t>
  </si>
  <si>
    <t>Alejandra Andrea Silva Estay</t>
  </si>
  <si>
    <t>10315865-6</t>
  </si>
  <si>
    <t>Jacaranda #082, Villa los Castaños, Limache</t>
  </si>
  <si>
    <t>limache</t>
  </si>
  <si>
    <t>silvaalejandra968@gmail.com</t>
  </si>
  <si>
    <t>Capital</t>
  </si>
  <si>
    <t>Colmena</t>
  </si>
  <si>
    <t>01/08/2024</t>
  </si>
  <si>
    <t>Técnico de Toma de Muestras</t>
  </si>
  <si>
    <t>Alejandra Elisa Aceituno Barraza</t>
  </si>
  <si>
    <t>13876560-1</t>
  </si>
  <si>
    <t>Avenida Obispo Valdes Subercaseaux #1857, Curauma</t>
  </si>
  <si>
    <t>Valparaiso</t>
  </si>
  <si>
    <t>alitaacbarraza@gmail.com</t>
  </si>
  <si>
    <t>Plan Vital</t>
  </si>
  <si>
    <t>14/06/2022</t>
  </si>
  <si>
    <t>Alejandra Francesca Valencia Tapia</t>
  </si>
  <si>
    <t>17808268-K</t>
  </si>
  <si>
    <t>22/06/1991</t>
  </si>
  <si>
    <t>Lomas del parque block 354A depto 201, cerro placeres</t>
  </si>
  <si>
    <t>a.valenciat@hotmail.com</t>
  </si>
  <si>
    <t>01/12/2015</t>
  </si>
  <si>
    <t>Alejandra Mabel Bustos Ugalde</t>
  </si>
  <si>
    <t>12957106-3</t>
  </si>
  <si>
    <t>22/10/1976</t>
  </si>
  <si>
    <t>Azucenas 885, Block C , Depto 24, Santa Julia</t>
  </si>
  <si>
    <t>almabu@hotmail.com</t>
  </si>
  <si>
    <t>Provida</t>
  </si>
  <si>
    <t>13/04/2015</t>
  </si>
  <si>
    <t>Alfredo Javier Montenegro Vivanco</t>
  </si>
  <si>
    <t>7634918-5</t>
  </si>
  <si>
    <t>06/05/1958</t>
  </si>
  <si>
    <t xml:space="preserve">Pje. Luis Uribe 251-D, El Retiro </t>
  </si>
  <si>
    <t>Quilpue</t>
  </si>
  <si>
    <t>aljamovi@hotmail.com</t>
  </si>
  <si>
    <t>Habitat</t>
  </si>
  <si>
    <t>Banmedica</t>
  </si>
  <si>
    <t>01/10/1987</t>
  </si>
  <si>
    <t>Profesional de Laboratorio Clínico</t>
  </si>
  <si>
    <t xml:space="preserve">Alfredo Leonardo Maturana Espinosa </t>
  </si>
  <si>
    <t>13505353-8</t>
  </si>
  <si>
    <t>05/05/1978</t>
  </si>
  <si>
    <t>Portillo Alto #3150, departamento C502</t>
  </si>
  <si>
    <t>amaturanae@gmail.com</t>
  </si>
  <si>
    <t>Cruz Blanca</t>
  </si>
  <si>
    <t>01/12/2020</t>
  </si>
  <si>
    <t>Alvaro Javier Cuevas Bravo</t>
  </si>
  <si>
    <t>15026267-4</t>
  </si>
  <si>
    <t>16/09/1985</t>
  </si>
  <si>
    <t>Av. Enrique Ibsen 568 Dpto. 64-I</t>
  </si>
  <si>
    <t>alvaro.cuevas.b@gmail.com</t>
  </si>
  <si>
    <t>04/01/2021</t>
  </si>
  <si>
    <t>Amparo Del Carmen Oliva Leiva</t>
  </si>
  <si>
    <t>13427323-2</t>
  </si>
  <si>
    <t>17/06/1978</t>
  </si>
  <si>
    <t>Nicanor Molinares N° 1374</t>
  </si>
  <si>
    <t xml:space="preserve">Olivaamparo78@gmail.com </t>
  </si>
  <si>
    <t>01/04/2024</t>
  </si>
  <si>
    <t>Ana María Hurtubia Araya</t>
  </si>
  <si>
    <t>19448253-1</t>
  </si>
  <si>
    <t>14/08/1996</t>
  </si>
  <si>
    <t>Viana #1635</t>
  </si>
  <si>
    <t>neve.hurtubia.araya@gmail.com</t>
  </si>
  <si>
    <t>14/11/2024</t>
  </si>
  <si>
    <t>Anays Katherine Eliana Rodriguez Zuñiga</t>
  </si>
  <si>
    <t>21.049.573-8</t>
  </si>
  <si>
    <t>Calle Libertad #202, Nogales</t>
  </si>
  <si>
    <t>La Calera</t>
  </si>
  <si>
    <t>anaysxc@gmail.com</t>
  </si>
  <si>
    <t>Uno</t>
  </si>
  <si>
    <t>02/09/2024</t>
  </si>
  <si>
    <t>Sociedad Analisis Quimico Clinico Limitada</t>
  </si>
  <si>
    <t>Andrea Ignacia Del Carmen Duran Rojas</t>
  </si>
  <si>
    <t>18702799-3</t>
  </si>
  <si>
    <t>Ruta F-360 Parcela 1-B santa Rosa de Colmo</t>
  </si>
  <si>
    <t>Quillota</t>
  </si>
  <si>
    <t>andrea.duranrojas@gmail.com</t>
  </si>
  <si>
    <t>modelo</t>
  </si>
  <si>
    <t xml:space="preserve">Assirik Angeline Díaz Ponce </t>
  </si>
  <si>
    <t>16665286-3</t>
  </si>
  <si>
    <t>24/06/1987</t>
  </si>
  <si>
    <t>Navio san martin 375 depto 304 A</t>
  </si>
  <si>
    <t>Assirita_24@hotmail.com</t>
  </si>
  <si>
    <t>03/06/2019</t>
  </si>
  <si>
    <t>Ayleen Betsabe Tapia Zuñiga</t>
  </si>
  <si>
    <t>18996259-2</t>
  </si>
  <si>
    <t>16/01/1995</t>
  </si>
  <si>
    <t>Villa primavera departamento 506</t>
  </si>
  <si>
    <t>ayleentapiazuniga@gmail.com</t>
  </si>
  <si>
    <t>16/03/2020</t>
  </si>
  <si>
    <t>Bárbara Virginia Díaz Matamala</t>
  </si>
  <si>
    <t>7394138-5</t>
  </si>
  <si>
    <t>02/09/1959</t>
  </si>
  <si>
    <t xml:space="preserve">Williams Rebolledo 176 Belloto Centro </t>
  </si>
  <si>
    <t>bdiaz@aclin.cl</t>
  </si>
  <si>
    <t>Vida Tres</t>
  </si>
  <si>
    <t>01/01/2001</t>
  </si>
  <si>
    <t>Jefe de Abastecimiento, Transporte y Logística</t>
  </si>
  <si>
    <t>Benjamín  Josue Cáceres Marín</t>
  </si>
  <si>
    <t>18841719-1</t>
  </si>
  <si>
    <t>Gabriel Dazarola 967</t>
  </si>
  <si>
    <t>Puntorosa.sg@gmail.com</t>
  </si>
  <si>
    <t>01/10/2024</t>
  </si>
  <si>
    <t>Operador de Abastecimiento, Transporte y Logística</t>
  </si>
  <si>
    <t>Camila Gabriela Cardenas Guerra</t>
  </si>
  <si>
    <t>19358030-0</t>
  </si>
  <si>
    <t>10/11/1997</t>
  </si>
  <si>
    <t>Lomas del Paine #2833 – Los Pinos</t>
  </si>
  <si>
    <t>cmilacardenasg@gmail.com</t>
  </si>
  <si>
    <t>13/12/2021</t>
  </si>
  <si>
    <t>Camila Romina Abarca Muñoz</t>
  </si>
  <si>
    <t>17530442-8</t>
  </si>
  <si>
    <t>13/10/1990</t>
  </si>
  <si>
    <t>Las manzanillas #1430, Las Araucarias</t>
  </si>
  <si>
    <t>camilaabarcam@gmail.com</t>
  </si>
  <si>
    <t>01/09/2017</t>
  </si>
  <si>
    <t>Carlos Esteban Soto Bermedo</t>
  </si>
  <si>
    <t>18586518-5</t>
  </si>
  <si>
    <t>29/03/1994</t>
  </si>
  <si>
    <t>Entrelomas 270, depto 64B</t>
  </si>
  <si>
    <t>csotobermedo.tm@gmail.com</t>
  </si>
  <si>
    <t>20/09/2017</t>
  </si>
  <si>
    <t>Carmen Gloria Farías Sandoval</t>
  </si>
  <si>
    <t>14241437-6</t>
  </si>
  <si>
    <t>20/11/1974</t>
  </si>
  <si>
    <t>Corbeta Baquedano N°0418</t>
  </si>
  <si>
    <t>Carmencitaf2011@hotmail.com</t>
  </si>
  <si>
    <t>04/02/2014</t>
  </si>
  <si>
    <t>Carmen Inelia De la Plata Montecino</t>
  </si>
  <si>
    <t>17567943-K</t>
  </si>
  <si>
    <t>22/08/1990</t>
  </si>
  <si>
    <t>Quillagua N° 2740, Los Lirios</t>
  </si>
  <si>
    <t xml:space="preserve">carmendelaplata2@gmail.com
</t>
  </si>
  <si>
    <t>Carmen Rosa Toro Pacheco</t>
  </si>
  <si>
    <t>7282874-7</t>
  </si>
  <si>
    <t>10/12/1956</t>
  </si>
  <si>
    <t>Pje. E #559 Belloto Centro</t>
  </si>
  <si>
    <t>Rosatoropacheco2014@gmail.com</t>
  </si>
  <si>
    <t>21/06/2005</t>
  </si>
  <si>
    <t>Carolina Andrea Araya Hinojosa</t>
  </si>
  <si>
    <t>19756882-8</t>
  </si>
  <si>
    <t>04/08/1997</t>
  </si>
  <si>
    <t>Lago Peñuela 860, condominio Nororiente, Reñaca alto</t>
  </si>
  <si>
    <t>carolina.araya.hinojosa@gmail.com</t>
  </si>
  <si>
    <t>Carolina Andrea Rodriguez Orellana</t>
  </si>
  <si>
    <t>17977467-4</t>
  </si>
  <si>
    <t>15/08/1991</t>
  </si>
  <si>
    <t>Pasaje Los Cerezos #042, Villa El Huerto, San Pedro</t>
  </si>
  <si>
    <t>karola.rodriguez@live.cl</t>
  </si>
  <si>
    <t>30/12/2020</t>
  </si>
  <si>
    <t>Carolina Andrea Vera Parra</t>
  </si>
  <si>
    <t>13430193-7</t>
  </si>
  <si>
    <t>02/05/1978</t>
  </si>
  <si>
    <t>Calle La Vicuña N°5, Conjunto la Reserva</t>
  </si>
  <si>
    <t>La Cruz</t>
  </si>
  <si>
    <t>caroveraparra@gmail.com</t>
  </si>
  <si>
    <t>10/06/2019</t>
  </si>
  <si>
    <t>Carolina Angelik Carrasquel Gonzalez</t>
  </si>
  <si>
    <t>25452470-0</t>
  </si>
  <si>
    <t>23/04/1988</t>
  </si>
  <si>
    <t xml:space="preserve">Pasaje Rio Imperial, Block 9 Dpto. 22 </t>
  </si>
  <si>
    <t>carolinacarrasquelgonzalez@gmail.com</t>
  </si>
  <si>
    <t>22/09/2020</t>
  </si>
  <si>
    <t>Catalina Andrea Krause Vera</t>
  </si>
  <si>
    <t>18731093-8</t>
  </si>
  <si>
    <t>30/05/1994</t>
  </si>
  <si>
    <t xml:space="preserve">Obispo Valdes 1302, C-3, Placilla </t>
  </si>
  <si>
    <t>catalinakrause@gmail.com</t>
  </si>
  <si>
    <t>06/12/2021</t>
  </si>
  <si>
    <t>Auxiliar de Aseo</t>
  </si>
  <si>
    <t>Catalina Florencia Palomo Cabello</t>
  </si>
  <si>
    <t>20476747-5</t>
  </si>
  <si>
    <t>chile</t>
  </si>
  <si>
    <t>Buenos Aires 634</t>
  </si>
  <si>
    <t>Quilpué</t>
  </si>
  <si>
    <t>catalina.f.palomo@gmail.com</t>
  </si>
  <si>
    <t>Planvital</t>
  </si>
  <si>
    <t>Charlotte Michelle Poulsen González</t>
  </si>
  <si>
    <t>16369732-7</t>
  </si>
  <si>
    <t>24/08/1987</t>
  </si>
  <si>
    <t>Padina 333 dpto 901</t>
  </si>
  <si>
    <t>Cha.poulsen.gon@gmail.com</t>
  </si>
  <si>
    <t>Encargada de Capacitación e Inducción / Enfermera de Calidad</t>
  </si>
  <si>
    <t>Christian Alfonso Zubieta Cifuentes</t>
  </si>
  <si>
    <t>20649623-1</t>
  </si>
  <si>
    <t>24/09/1996</t>
  </si>
  <si>
    <t>Avenida La Paz N° 2120</t>
  </si>
  <si>
    <t>c.zubieta.c@gmail.com</t>
  </si>
  <si>
    <t>19/10/2021</t>
  </si>
  <si>
    <t>Cindy Andrea Maldonado Bravo</t>
  </si>
  <si>
    <t>10.634.495-7</t>
  </si>
  <si>
    <t>Las Acacias #1575, Casa 25, Peñablanca</t>
  </si>
  <si>
    <t>cindy_brisa13@hotmail.com</t>
  </si>
  <si>
    <t>Cuprum</t>
  </si>
  <si>
    <t>Profesional de Toma de Muestras</t>
  </si>
  <si>
    <t>Prestaciones y Servicios Clinicos Limitada</t>
  </si>
  <si>
    <t>Claudia Andrea Ponce Fuenzalida</t>
  </si>
  <si>
    <t>14441661-9</t>
  </si>
  <si>
    <t>06/02/1976</t>
  </si>
  <si>
    <t>Mazo de oro, parcela 34, lagunillas</t>
  </si>
  <si>
    <t>Casablanca</t>
  </si>
  <si>
    <t>cponcefuenzalida@gmail.com</t>
  </si>
  <si>
    <t>23/08/2021</t>
  </si>
  <si>
    <t>Claudia Evangelina Galaz Borbaran</t>
  </si>
  <si>
    <t>11388983-7</t>
  </si>
  <si>
    <t>11/02/1969</t>
  </si>
  <si>
    <t>Psje Atkinson N° 24, Cerro Concepcion</t>
  </si>
  <si>
    <t>claudia.galaz.b@gmail.com</t>
  </si>
  <si>
    <t>04/10/2010</t>
  </si>
  <si>
    <t>Secretaria de Visación</t>
  </si>
  <si>
    <t>Claudia Paola Alvarez Cuadros</t>
  </si>
  <si>
    <t>12849474-K</t>
  </si>
  <si>
    <t>21/05/1975</t>
  </si>
  <si>
    <t>Villa América, Pasaje Tres #561</t>
  </si>
  <si>
    <t>claudia.alvarez0102@gmail.com</t>
  </si>
  <si>
    <t>30/11/2020</t>
  </si>
  <si>
    <t>Claudia Susana Parada Lopez</t>
  </si>
  <si>
    <t>8060510-2</t>
  </si>
  <si>
    <t>24/05/1960</t>
  </si>
  <si>
    <t>San Enrique #50</t>
  </si>
  <si>
    <t>cparadalopez54@gmail.com</t>
  </si>
  <si>
    <t>16/01/2005</t>
  </si>
  <si>
    <t>Claudia Teresita Moraga Landa</t>
  </si>
  <si>
    <t>19350605-4</t>
  </si>
  <si>
    <t>10/08/1996</t>
  </si>
  <si>
    <t>Avenida Los Sargazos 1440, departamento 3, Jardín del Mar, Reñaca</t>
  </si>
  <si>
    <t>claumoraga123@gmail.com</t>
  </si>
  <si>
    <t>22/03/2021</t>
  </si>
  <si>
    <t>Anfitriona</t>
  </si>
  <si>
    <t>NO</t>
  </si>
  <si>
    <t>Claudio Patricio Crespo Gonzalez</t>
  </si>
  <si>
    <t>12452346-K</t>
  </si>
  <si>
    <t>12/06/1973</t>
  </si>
  <si>
    <t>Luis Uribe #325, El Retiro</t>
  </si>
  <si>
    <t>Claudio.crespo.gonzalez@gmail.com</t>
  </si>
  <si>
    <t>15/02/2021</t>
  </si>
  <si>
    <t xml:space="preserve">Chofer  </t>
  </si>
  <si>
    <t>Constanza Alejandra Mortara Cortez</t>
  </si>
  <si>
    <t>18223922-4</t>
  </si>
  <si>
    <t>08/06/1992</t>
  </si>
  <si>
    <t>Las acacias 749 depto 342, Condominio Mirador de Peñablanca II</t>
  </si>
  <si>
    <t>Peñablanca</t>
  </si>
  <si>
    <t>Constanzamortara@gmail.com</t>
  </si>
  <si>
    <t>09/09/2019</t>
  </si>
  <si>
    <t>Cristina Paola Delgado Alarcon</t>
  </si>
  <si>
    <t>13193421-1</t>
  </si>
  <si>
    <t>18/06/1977</t>
  </si>
  <si>
    <t>Alto de libertad, #50, depto 1203</t>
  </si>
  <si>
    <t>Cristydelgado1806@gmail.com</t>
  </si>
  <si>
    <t>13/10/2015</t>
  </si>
  <si>
    <t>Daniel Alejandro Carvajal Bernal</t>
  </si>
  <si>
    <t>14587735-0</t>
  </si>
  <si>
    <t>20/07/1980</t>
  </si>
  <si>
    <t>Avenida parque sur 1602 , Curauma.</t>
  </si>
  <si>
    <t>d.carvajal.bernal@gmail.com</t>
  </si>
  <si>
    <t>01/09/2008</t>
  </si>
  <si>
    <t>Daniela Carolina Olcay Bravo</t>
  </si>
  <si>
    <t>11826030-9</t>
  </si>
  <si>
    <t>21/07/1971</t>
  </si>
  <si>
    <t>Calle 24 de Julio, Nº 9, Casa 10, Porvenir Higuerillas</t>
  </si>
  <si>
    <t>Dolcay.bravo21@gmail.com</t>
  </si>
  <si>
    <t>07/10/2008</t>
  </si>
  <si>
    <t>Daniela Michelle Cáceres Klenner</t>
  </si>
  <si>
    <t>16889279-9</t>
  </si>
  <si>
    <t>05/10/1989</t>
  </si>
  <si>
    <t>Palencia 564 Villa El Alba.</t>
  </si>
  <si>
    <t>d.caceresklenner@gmail.com</t>
  </si>
  <si>
    <t>10/05/2017</t>
  </si>
  <si>
    <t>Daniela Patricia Aravena Catalan</t>
  </si>
  <si>
    <t>19192415-0</t>
  </si>
  <si>
    <t>25/12/1995</t>
  </si>
  <si>
    <t xml:space="preserve">Gabriel Dazarola #961 </t>
  </si>
  <si>
    <t>Danii.aravena@gmail.com</t>
  </si>
  <si>
    <t>Dianet Olga Farfán Estay</t>
  </si>
  <si>
    <t>14237967-8</t>
  </si>
  <si>
    <t>16/07/1973</t>
  </si>
  <si>
    <t>Aviador Figueroa 1460</t>
  </si>
  <si>
    <t>dianetf_13@hotmail.com</t>
  </si>
  <si>
    <t>23/03/2020</t>
  </si>
  <si>
    <t>Diego Jesus Cabrera Leiva</t>
  </si>
  <si>
    <t>15100424-5</t>
  </si>
  <si>
    <t>14/06/1982</t>
  </si>
  <si>
    <t>Rafael Fabres 2596, casa 14, Cond. Puerto Marino VI</t>
  </si>
  <si>
    <t>dcabreratm@gmail.com</t>
  </si>
  <si>
    <t>16/10/2006</t>
  </si>
  <si>
    <t>Administrador</t>
  </si>
  <si>
    <t>Edilia Mariana Matamoros Romero</t>
  </si>
  <si>
    <t>25725793-2</t>
  </si>
  <si>
    <t>20/12/1995</t>
  </si>
  <si>
    <t>San Antonio 1001 (esquina 11 norte)</t>
  </si>
  <si>
    <t>ediliamatamorosromero@gmail.com</t>
  </si>
  <si>
    <t>09/11/2020</t>
  </si>
  <si>
    <t>Elida Marjorie Toro Núñez</t>
  </si>
  <si>
    <t>12822108-5</t>
  </si>
  <si>
    <t>29/11/1974</t>
  </si>
  <si>
    <t>Lira #2210, El Peumo.</t>
  </si>
  <si>
    <t>elidita_cl@hotmail.com</t>
  </si>
  <si>
    <t>02/03/2018</t>
  </si>
  <si>
    <t>Elisa Del Rosario Torres Aros</t>
  </si>
  <si>
    <t>13653620-6</t>
  </si>
  <si>
    <t>29/08/1979</t>
  </si>
  <si>
    <t xml:space="preserve">Pasaje Santa Rosa N° 166 Rodelillo, </t>
  </si>
  <si>
    <t>Torres.aros.elisa@gmail.com</t>
  </si>
  <si>
    <t>05/05/2015</t>
  </si>
  <si>
    <t>Secretaria de Call Center</t>
  </si>
  <si>
    <t>Elizabeth del Carmen Santander Veliz</t>
  </si>
  <si>
    <t>10900474-K</t>
  </si>
  <si>
    <t>02/07/1978</t>
  </si>
  <si>
    <t>Pje El Algarrobo N° 1363, Portal Araucaria, Quillota</t>
  </si>
  <si>
    <t>Elisantander78@gmail.com</t>
  </si>
  <si>
    <t>08/09/2016</t>
  </si>
  <si>
    <t>Elsa Jeannette Ojeda Madrid</t>
  </si>
  <si>
    <t>10069117-5</t>
  </si>
  <si>
    <t>06/09/1965</t>
  </si>
  <si>
    <t>Alicante 160</t>
  </si>
  <si>
    <t>elsaojedamadrid@gmail.com</t>
  </si>
  <si>
    <t>02/12/2010</t>
  </si>
  <si>
    <t>Emmily Juliet Rojas Ramirez</t>
  </si>
  <si>
    <t>26083035-K</t>
  </si>
  <si>
    <t>14/11/2002</t>
  </si>
  <si>
    <t>8 norte, casa 3045, Quinto Sector, Gomez Carreño</t>
  </si>
  <si>
    <t>emmyisarojas@gmail.com</t>
  </si>
  <si>
    <t>15/03/2021</t>
  </si>
  <si>
    <t>Evelyn Andrea Brito Briones</t>
  </si>
  <si>
    <t>13186553-8</t>
  </si>
  <si>
    <t>03/09/1977</t>
  </si>
  <si>
    <t xml:space="preserve">Epsilon 1830 sol del pacifico  III  </t>
  </si>
  <si>
    <t>Evelyn.brito.b@hotmail.com</t>
  </si>
  <si>
    <t>01/12/2017</t>
  </si>
  <si>
    <t>Evelyn Gutierrez Méndez (De Jimenez)</t>
  </si>
  <si>
    <t>27150191-9</t>
  </si>
  <si>
    <t>Las Monjas 792</t>
  </si>
  <si>
    <t>Valparaíso</t>
  </si>
  <si>
    <t>evelyngutierrezm@gmail.com</t>
  </si>
  <si>
    <t>18/04/2022</t>
  </si>
  <si>
    <t>Evelyn Karla Luna Alvarado</t>
  </si>
  <si>
    <t>12846476-K</t>
  </si>
  <si>
    <t>05/08/1975</t>
  </si>
  <si>
    <t>Calle 1° Mayo N°80, Cerro Placeres.</t>
  </si>
  <si>
    <t>Evelu75@hotmail.com</t>
  </si>
  <si>
    <t>26/03/2012</t>
  </si>
  <si>
    <t>Fabiola Raquel Aravena Muñoz</t>
  </si>
  <si>
    <t>10168249-8</t>
  </si>
  <si>
    <t>23/12/1966</t>
  </si>
  <si>
    <t>Arrieta 409</t>
  </si>
  <si>
    <t>fabyaravena@hotmail.es</t>
  </si>
  <si>
    <t>11/07/1990</t>
  </si>
  <si>
    <t>Felipe Andres Cid Monckton</t>
  </si>
  <si>
    <t>8732036-7</t>
  </si>
  <si>
    <t>07/03/1969</t>
  </si>
  <si>
    <t>2 oriente 281</t>
  </si>
  <si>
    <t>inversionesisidora@vtr.net</t>
  </si>
  <si>
    <t>01/02/2017</t>
  </si>
  <si>
    <t>Jefe de Contabilidad</t>
  </si>
  <si>
    <t>Fernanda Javiera Nieto Morales</t>
  </si>
  <si>
    <t>19395324-7</t>
  </si>
  <si>
    <t>10/01/1997</t>
  </si>
  <si>
    <t>Población Ferroviaria, Calle 18 de Sept. #481</t>
  </si>
  <si>
    <t>fernandanieto97mil@gmail.com</t>
  </si>
  <si>
    <t>09/03/2020</t>
  </si>
  <si>
    <t>Francisca Andrea Gatica Olguín</t>
  </si>
  <si>
    <t>16778887-4</t>
  </si>
  <si>
    <t>Calle Acevedo Hernández #64, Forestal Alto</t>
  </si>
  <si>
    <t>fgatica956@gmail.com</t>
  </si>
  <si>
    <t>11/07/2022</t>
  </si>
  <si>
    <t>Francisca Catalina Negrete Santander</t>
  </si>
  <si>
    <t>18511201-2</t>
  </si>
  <si>
    <t>02/10/1993</t>
  </si>
  <si>
    <t>Villa El Bosque, pasaje Los Avellanos  n°12.</t>
  </si>
  <si>
    <t>franciscanegretesantander@gmail.com</t>
  </si>
  <si>
    <t>06/09/2016</t>
  </si>
  <si>
    <t>Francisco Alfredo Aguilera Bustamante</t>
  </si>
  <si>
    <t>19295849-0</t>
  </si>
  <si>
    <t>11/12/1995</t>
  </si>
  <si>
    <t>Quillota N° 0249, Depto. 1205-A</t>
  </si>
  <si>
    <t>franciscoabust@gmail.com</t>
  </si>
  <si>
    <t>16/06/2021</t>
  </si>
  <si>
    <t>Gabriela Alexandra Olmos Bazaes</t>
  </si>
  <si>
    <t>16182581-6</t>
  </si>
  <si>
    <t>Lago Villarrica # 650, Mirador del Valle, Reñaca Alto</t>
  </si>
  <si>
    <t>gabrielaolmos050@gmail.com</t>
  </si>
  <si>
    <t>22/06/2022</t>
  </si>
  <si>
    <t>Geovanina Leonarda Jorquera Aguilera</t>
  </si>
  <si>
    <t>12951281-4</t>
  </si>
  <si>
    <t>Ramón Subercaseaux #1818</t>
  </si>
  <si>
    <t>Geojorquera@gmail.com</t>
  </si>
  <si>
    <t>Gerardina Constanza Aravena Catalan</t>
  </si>
  <si>
    <t>17944000-8</t>
  </si>
  <si>
    <t>22/05/1991</t>
  </si>
  <si>
    <t>Madrid 1510, Casa 72. Condominio Los Maitenes II</t>
  </si>
  <si>
    <t>gera.aravena.c@gmail.com</t>
  </si>
  <si>
    <t>01/07/2013</t>
  </si>
  <si>
    <t>Gilda Cecilia Aranda Mena</t>
  </si>
  <si>
    <t>9869826-4</t>
  </si>
  <si>
    <t>El palto 3001, Condominio Mallén, Edificio Raulí, Departamento 502, miraflores</t>
  </si>
  <si>
    <t>gilda.aranda@gmail.com</t>
  </si>
  <si>
    <t>25/03/2024</t>
  </si>
  <si>
    <t>Gisela Andrea Diaz Diaz</t>
  </si>
  <si>
    <t>16961003-7</t>
  </si>
  <si>
    <t>07/08/1985</t>
  </si>
  <si>
    <t>Pasaje Coronel Kormer #509, Placilla</t>
  </si>
  <si>
    <t>gisela.diaz.d@gmail.com</t>
  </si>
  <si>
    <t>01/08/2017</t>
  </si>
  <si>
    <t>Gisela Betzabe Cortes Astudillo</t>
  </si>
  <si>
    <t>14530770-8</t>
  </si>
  <si>
    <t>05/12/1975</t>
  </si>
  <si>
    <t>Los Aromos N° 770., condominio Jardines de Peñablanca, casa 19</t>
  </si>
  <si>
    <t>gisela.cortesastudillo@gmail.com</t>
  </si>
  <si>
    <t>05/10/2005</t>
  </si>
  <si>
    <t>Administrativo de Abastecimiento, Transporte y Logística</t>
  </si>
  <si>
    <t>Gonzalo Ignacio Valenzuela Araya</t>
  </si>
  <si>
    <t>19951525-K</t>
  </si>
  <si>
    <t>02/09/1998</t>
  </si>
  <si>
    <t>Casas viejas de rauten lote 1 sitio 9</t>
  </si>
  <si>
    <t>Valenzuelaarayagonzalo@gmail.com</t>
  </si>
  <si>
    <t>09-07-2025</t>
  </si>
  <si>
    <t>Gloria Haydee Pedreros Cárcamo</t>
  </si>
  <si>
    <t>9739001-0</t>
  </si>
  <si>
    <t>24/03/1964</t>
  </si>
  <si>
    <t xml:space="preserve">El Alba 942  Belloto  Sur </t>
  </si>
  <si>
    <t>gpedreros@hotmail.com</t>
  </si>
  <si>
    <t>02/11/2004</t>
  </si>
  <si>
    <t>Graciela Del Pilar Gonzalez Leiva</t>
  </si>
  <si>
    <t>19339409-4</t>
  </si>
  <si>
    <t>10/12/1996</t>
  </si>
  <si>
    <t>Av. Las mercedes # 555 las colinas</t>
  </si>
  <si>
    <t>Leivagdelpilar@gmail.com</t>
  </si>
  <si>
    <t>18/10/2021</t>
  </si>
  <si>
    <t>Ingrid Jhoanna Heresmann Faundez</t>
  </si>
  <si>
    <t>13677508-1</t>
  </si>
  <si>
    <t>25/08/1972</t>
  </si>
  <si>
    <t>La Marck 01073, Poblacion Manuel Rodriguez</t>
  </si>
  <si>
    <t>ingridjhoannaheresmann@gmail.</t>
  </si>
  <si>
    <t>20/01/2025</t>
  </si>
  <si>
    <t>Jacqueline del Carmen Ferreira Chavez</t>
  </si>
  <si>
    <t>9434869-2</t>
  </si>
  <si>
    <t>30/06/1965</t>
  </si>
  <si>
    <t>Calle Puerto Elvira N° 898, Canal Beagle</t>
  </si>
  <si>
    <t>jacquelineferreirach@gmail.com</t>
  </si>
  <si>
    <t>02/11/1995</t>
  </si>
  <si>
    <t>Jacqueline Liliana Ramirez Aracena</t>
  </si>
  <si>
    <t>10470972-9</t>
  </si>
  <si>
    <t xml:space="preserve">Mejillones 78 artificio </t>
  </si>
  <si>
    <t>jacqueramirez714@gmail.com</t>
  </si>
  <si>
    <t>11/03/2024</t>
  </si>
  <si>
    <t>Javiera Francisca Diaz Veraguas</t>
  </si>
  <si>
    <t>19489684-0</t>
  </si>
  <si>
    <t>Las Golondrinas, D627.</t>
  </si>
  <si>
    <t>Limache</t>
  </si>
  <si>
    <t>jfranvdiaz@gmail.com</t>
  </si>
  <si>
    <t>02/04/2024</t>
  </si>
  <si>
    <t>Javiera Francisca Sola Jeria</t>
  </si>
  <si>
    <t>20126625-4</t>
  </si>
  <si>
    <t xml:space="preserve">Pasaje la lastra, conjunto san isidro1408 </t>
  </si>
  <si>
    <t>javierasolavega@gmail.com</t>
  </si>
  <si>
    <t>si</t>
  </si>
  <si>
    <t>Javiera Paz de Lourdes Calderon Schiaffino</t>
  </si>
  <si>
    <t>18.211.387-5</t>
  </si>
  <si>
    <t>Blanco Encalada #411</t>
  </si>
  <si>
    <t>javi.calderon@live.cl</t>
  </si>
  <si>
    <t>Jenifer Andrea Guzmán Santibáñez</t>
  </si>
  <si>
    <t>16886915-0</t>
  </si>
  <si>
    <t>17/05/1988</t>
  </si>
  <si>
    <t>Covadonga N°323 Peña Blanca</t>
  </si>
  <si>
    <t>Jeniferguzmans1@gmail.com</t>
  </si>
  <si>
    <t>20/05/2019</t>
  </si>
  <si>
    <t>Jessica Cecilia Lobos Avila</t>
  </si>
  <si>
    <t>11437237-4</t>
  </si>
  <si>
    <t>22/11/1969</t>
  </si>
  <si>
    <t>Cajilla 714, sector puerto</t>
  </si>
  <si>
    <t>Jesica_lobos@hotmail.com</t>
  </si>
  <si>
    <t>25/02/2002</t>
  </si>
  <si>
    <t>Jessica Marcela Cordero Aguilera</t>
  </si>
  <si>
    <t>12098440-3</t>
  </si>
  <si>
    <t>Pasaje 3 casa 3, Villa Alas Azucenas, Sta. julia Paradero 6 1/2</t>
  </si>
  <si>
    <t>gioco4815@gmail.com</t>
  </si>
  <si>
    <t>08/04/2024</t>
  </si>
  <si>
    <t>Jorge Claudio López Lamas</t>
  </si>
  <si>
    <t>6766006-4</t>
  </si>
  <si>
    <t>15/04/1959</t>
  </si>
  <si>
    <t>Williams Rebolledo 176 Belloto Centro</t>
  </si>
  <si>
    <t>Claudio.lopez.l@hotmail.com</t>
  </si>
  <si>
    <t>16/11/2005</t>
  </si>
  <si>
    <t>Juan Carlos Rodriguez Perez</t>
  </si>
  <si>
    <t>9732615-0</t>
  </si>
  <si>
    <t>22/03/1964</t>
  </si>
  <si>
    <t>Calle Quintin Romero 173, paradero 5 1/2 Achupallas</t>
  </si>
  <si>
    <t>juancarodriguezperez@gmail.com</t>
  </si>
  <si>
    <t>01/08/2013</t>
  </si>
  <si>
    <t>Juan Segundo Cruces Alarcon</t>
  </si>
  <si>
    <t>11245268-0</t>
  </si>
  <si>
    <t>21/02/1968</t>
  </si>
  <si>
    <t xml:space="preserve">Juan2.cruces@gmail.com     </t>
  </si>
  <si>
    <t>01/07/2006</t>
  </si>
  <si>
    <t>Operador de Mantención</t>
  </si>
  <si>
    <t>Karin Lorena Ramirez Aracena</t>
  </si>
  <si>
    <t>13983348-1</t>
  </si>
  <si>
    <t>01/05/1981</t>
  </si>
  <si>
    <t>21 de Mayo N°532</t>
  </si>
  <si>
    <t>ramirezlorechica9537@gmail.com</t>
  </si>
  <si>
    <t>01/12/2021</t>
  </si>
  <si>
    <t>Karla Elena Allendes Estay</t>
  </si>
  <si>
    <t>16777335-4</t>
  </si>
  <si>
    <t>17/03/1988</t>
  </si>
  <si>
    <t>1 oriente 1210, Depto 305, Block A, Villa Primavera</t>
  </si>
  <si>
    <t>Allendes.karlaelena@gmail.com</t>
  </si>
  <si>
    <t>16/10/2017</t>
  </si>
  <si>
    <t>Katalina Alexandra Ortega Gonzalez</t>
  </si>
  <si>
    <t>20883874-1</t>
  </si>
  <si>
    <t>Villa las azucenas, casa 9, St.a Julia. Viña del Mar</t>
  </si>
  <si>
    <t>katalina2585@gmail.com</t>
  </si>
  <si>
    <t>Katherine Alejandra Tapia Vega</t>
  </si>
  <si>
    <t>17388310-2</t>
  </si>
  <si>
    <t>26/02/1990</t>
  </si>
  <si>
    <t>Calle los tilo,s sitio 169, La Peña</t>
  </si>
  <si>
    <t>Nogales</t>
  </si>
  <si>
    <t>Katherine.tave@gmail.com</t>
  </si>
  <si>
    <t>05/01/2016</t>
  </si>
  <si>
    <t>Katherine Waleska Nuñez Nuñez</t>
  </si>
  <si>
    <t>17293061-1</t>
  </si>
  <si>
    <t>02/01/1990</t>
  </si>
  <si>
    <t>raul toro 287 casa 1 achupallas paradero 1</t>
  </si>
  <si>
    <t>katina.n2@gmail.com</t>
  </si>
  <si>
    <t>05/04/2011</t>
  </si>
  <si>
    <t>Laura Andrea Rios Breems</t>
  </si>
  <si>
    <t>12225592-1</t>
  </si>
  <si>
    <t>04/02/1972</t>
  </si>
  <si>
    <t>Los Abedules 334, Puerta del Sol, Curauma</t>
  </si>
  <si>
    <t>lriosbreems@gmail.com</t>
  </si>
  <si>
    <t>08/08/2016</t>
  </si>
  <si>
    <t>Lidia Isabel Alvarez Hernandez</t>
  </si>
  <si>
    <t>12062610-8</t>
  </si>
  <si>
    <t>15/06/1967</t>
  </si>
  <si>
    <t>Los tulipanes #8, paradero 5 1/2, Achupallas</t>
  </si>
  <si>
    <t>valeria.orellana.alvarez@gmail.com</t>
  </si>
  <si>
    <t>01/11/2016</t>
  </si>
  <si>
    <t>Lilian Constanza Hidalgo Hidalgo</t>
  </si>
  <si>
    <t>15100734-1</t>
  </si>
  <si>
    <t>12/08/1982</t>
  </si>
  <si>
    <t>Alessandri #601, depto 32</t>
  </si>
  <si>
    <t>lilian.constanza82@gmail.com</t>
  </si>
  <si>
    <t>16/01/2023</t>
  </si>
  <si>
    <t>Lissete Andrea Lillo Tapia</t>
  </si>
  <si>
    <t>13986407-7</t>
  </si>
  <si>
    <t>02/12/1981</t>
  </si>
  <si>
    <t>Villa Leonardo Da-Vinci, pasaje. Masaccio N°  1148</t>
  </si>
  <si>
    <t>llillotapia0212@gmail.com</t>
  </si>
  <si>
    <t>03/02/2014</t>
  </si>
  <si>
    <t>Loreto Andrea Alanis Godoy</t>
  </si>
  <si>
    <t>16203759-5</t>
  </si>
  <si>
    <t>06/03/1986</t>
  </si>
  <si>
    <t>villa ohiggins pasaje don ambrosio 624</t>
  </si>
  <si>
    <t>Loretoalanisgodoy85@gmail.com</t>
  </si>
  <si>
    <t>09/03/2015</t>
  </si>
  <si>
    <t>Loreto Angelica Manque Morales</t>
  </si>
  <si>
    <t>16539908-0</t>
  </si>
  <si>
    <t>13/03/1987</t>
  </si>
  <si>
    <t>Villa los Maitenes, Pasaje la tranca, casa N°1714</t>
  </si>
  <si>
    <t>Loreto.m.morales@gmail.com</t>
  </si>
  <si>
    <t>Luis Daniel Cortes Paez</t>
  </si>
  <si>
    <t>6304830-5</t>
  </si>
  <si>
    <t>25/08/1951</t>
  </si>
  <si>
    <t>Ampliación las horas, n°19. Forestal Bajo</t>
  </si>
  <si>
    <t>transportetiodany@hotmail.com</t>
  </si>
  <si>
    <t>-</t>
  </si>
  <si>
    <t>25/09/2020</t>
  </si>
  <si>
    <t>Luz Eliana Vilches Lobo</t>
  </si>
  <si>
    <t>9847719-5</t>
  </si>
  <si>
    <t>09/04/1965</t>
  </si>
  <si>
    <t>8 poniente 5652, 3er sector, Gomez Carreño</t>
  </si>
  <si>
    <t>luzvilcheslobo@gmail.com</t>
  </si>
  <si>
    <t>Macarena Paz Rojas Rojas</t>
  </si>
  <si>
    <t>17354333-6</t>
  </si>
  <si>
    <t>12/10/1989</t>
  </si>
  <si>
    <t>Calle San Agustin 650, casa 18</t>
  </si>
  <si>
    <t>Macarenap.rojas@gmail.com</t>
  </si>
  <si>
    <t>05/08/2014</t>
  </si>
  <si>
    <t>Marcela Sandra Nuñez Aguilera</t>
  </si>
  <si>
    <t>12449254-8</t>
  </si>
  <si>
    <t>06/07/1973</t>
  </si>
  <si>
    <t>Bernardo Leighton 1431, Block 5</t>
  </si>
  <si>
    <t>marcela2402@hotmail.com</t>
  </si>
  <si>
    <t>Marcelina Teresa Castillo Contreras</t>
  </si>
  <si>
    <t>12601815-0</t>
  </si>
  <si>
    <t xml:space="preserve">CALLE EL TABO 1987 </t>
  </si>
  <si>
    <t>mcastillocontreras74@gmail.com</t>
  </si>
  <si>
    <t>13/06/2022</t>
  </si>
  <si>
    <t>Marcelo Alfonso Tapia Carrere</t>
  </si>
  <si>
    <t>7375411-9</t>
  </si>
  <si>
    <t>09/11/1957</t>
  </si>
  <si>
    <t>Cinerarias 640</t>
  </si>
  <si>
    <t>mtapia@aclin.cl</t>
  </si>
  <si>
    <t>NuevaMasVida</t>
  </si>
  <si>
    <t>01/01/2017</t>
  </si>
  <si>
    <t>Director Técnico</t>
  </si>
  <si>
    <t>Marco Antonio Barnier Pineda</t>
  </si>
  <si>
    <t>10493816-7</t>
  </si>
  <si>
    <t>06/08/1966</t>
  </si>
  <si>
    <t>Maule 83 Población Riquelme Forestal Alto</t>
  </si>
  <si>
    <t>Marcoantonio.barnier@gmail.com</t>
  </si>
  <si>
    <t>Auxiliar de Laboratorio</t>
  </si>
  <si>
    <t>Marcos Fernández Tapia</t>
  </si>
  <si>
    <t>10648156-3</t>
  </si>
  <si>
    <t>Alicante 267 Pob. Prat</t>
  </si>
  <si>
    <t>marcosfernandezt@gmail.com</t>
  </si>
  <si>
    <t>04/01/2022</t>
  </si>
  <si>
    <t>Maria Carolina Rivas Rivas</t>
  </si>
  <si>
    <t>27603788-9</t>
  </si>
  <si>
    <t>01/12/1975</t>
  </si>
  <si>
    <t>Av. primera número 50 condominio Bosques de Reñaca  torre 11-41</t>
  </si>
  <si>
    <t>mcarolinar975@gmail.com</t>
  </si>
  <si>
    <t>04/11/2021</t>
  </si>
  <si>
    <t>María Carolina Torres Radebach</t>
  </si>
  <si>
    <t>12567435-6</t>
  </si>
  <si>
    <t>08/01/1974</t>
  </si>
  <si>
    <t>San Andres 60, casa 21, Condominio Casas del Bosque</t>
  </si>
  <si>
    <t>ctorres.aclin@gmail.com</t>
  </si>
  <si>
    <t>26/01/2013</t>
  </si>
  <si>
    <t>Maria Doris Gavilan Labra</t>
  </si>
  <si>
    <t>10345875-7</t>
  </si>
  <si>
    <t>03/06/1964</t>
  </si>
  <si>
    <t>Chacabuco 960</t>
  </si>
  <si>
    <t>madogala123@gmail.com</t>
  </si>
  <si>
    <t>01/12/2011</t>
  </si>
  <si>
    <t>María Eugenia Pineda Cordero</t>
  </si>
  <si>
    <t>26433227-3</t>
  </si>
  <si>
    <t>20/09/1980</t>
  </si>
  <si>
    <t>avenida Diego portales casa 405 Cerro el Recreo</t>
  </si>
  <si>
    <t>Mariaeugeniapineda09@gmail.com</t>
  </si>
  <si>
    <t>PlanVital</t>
  </si>
  <si>
    <t>14/11/2022</t>
  </si>
  <si>
    <t>María Ignacia Tapia Baldassare</t>
  </si>
  <si>
    <t>17995594-6</t>
  </si>
  <si>
    <t>08/03/1992</t>
  </si>
  <si>
    <t>Los Prunos 400, Depto 905</t>
  </si>
  <si>
    <t>ignaciatapiab@gmail.com</t>
  </si>
  <si>
    <t>01/03/2018</t>
  </si>
  <si>
    <t xml:space="preserve">Jefe de Expansión y Desarrollo Institucional </t>
  </si>
  <si>
    <t>María Lioniza Leonett Leonett</t>
  </si>
  <si>
    <t>26480282-2</t>
  </si>
  <si>
    <t>Av. primavera n 50, Condominio Bosques de Reñaca Alto</t>
  </si>
  <si>
    <t>Marileonett62@gmail.com</t>
  </si>
  <si>
    <t>Maria Teresa Chivico Romero</t>
  </si>
  <si>
    <t>27199797-3</t>
  </si>
  <si>
    <t>10/09/1995</t>
  </si>
  <si>
    <t>Av. Nudo de Curauma Nº 810 Curauma</t>
  </si>
  <si>
    <t>mariachivico10@gmail.com</t>
  </si>
  <si>
    <t>28/12/2020</t>
  </si>
  <si>
    <t>Marion Carolina Quintanilla Pulgar</t>
  </si>
  <si>
    <t>15763026-1</t>
  </si>
  <si>
    <t>10/08/1984</t>
  </si>
  <si>
    <t>Bilbao 90, Poblacion Prat</t>
  </si>
  <si>
    <t>marionqp@gmail.com</t>
  </si>
  <si>
    <t>01/02/2013</t>
  </si>
  <si>
    <t>Marjorie Denisse Lantaño Fernandez</t>
  </si>
  <si>
    <t>18996421-8</t>
  </si>
  <si>
    <t>01/07/1994</t>
  </si>
  <si>
    <t>PasajeMaravillar1838,Santa Inés</t>
  </si>
  <si>
    <t xml:space="preserve">marjoriedenisse11@gmail.com
</t>
  </si>
  <si>
    <t>15/06/2021</t>
  </si>
  <si>
    <t xml:space="preserve">Marjorie Elizabeth Farias Sepulveda </t>
  </si>
  <si>
    <t>13192561-1</t>
  </si>
  <si>
    <t>18/03/1977</t>
  </si>
  <si>
    <t>Villa Los Aleilies Block 01, depto 015, Santa Julia</t>
  </si>
  <si>
    <t>sepulvedafariasmarjori@gmail.com</t>
  </si>
  <si>
    <t>07/12/2010</t>
  </si>
  <si>
    <t>Matias-Andrés Serrano Figueroa</t>
  </si>
  <si>
    <t>18297388-2</t>
  </si>
  <si>
    <t>06/07/1992</t>
  </si>
  <si>
    <t>Edmundo Eluchans #1737, depto 205.</t>
  </si>
  <si>
    <t>ma.serranofigueroa@gmail.com</t>
  </si>
  <si>
    <t>23/09/2019</t>
  </si>
  <si>
    <t>Coordinador de Recursos Humanos</t>
  </si>
  <si>
    <t>Melissa Belén Clavería Valdés</t>
  </si>
  <si>
    <t>18585744-1</t>
  </si>
  <si>
    <t>Teniente uribe #43, artificio</t>
  </si>
  <si>
    <t>melissaclaveriavaldes@gmail.com</t>
  </si>
  <si>
    <t>Michelle De Los Ángeles Tapia Maldonado</t>
  </si>
  <si>
    <t>19338818-3</t>
  </si>
  <si>
    <t>29/09/1996</t>
  </si>
  <si>
    <t>Cerro Rocuant, Las Torres, Casa 7</t>
  </si>
  <si>
    <t>micheltapia96@gmail.com</t>
  </si>
  <si>
    <t>Mirta Celestina Ibañez Lazcano</t>
  </si>
  <si>
    <t>9878325-3</t>
  </si>
  <si>
    <t>22/07/1963</t>
  </si>
  <si>
    <t>Ibsen #568 Condominio Jardín Suizo 1</t>
  </si>
  <si>
    <t>mirtacelestina@hotmail.com</t>
  </si>
  <si>
    <t>01/11/2017</t>
  </si>
  <si>
    <t>Mónica Mafalda Crespo Olivares</t>
  </si>
  <si>
    <t>18915025-3</t>
  </si>
  <si>
    <t>27/08/1994</t>
  </si>
  <si>
    <t>mcrespo.olivares@gmail.com</t>
  </si>
  <si>
    <t>Nahed Elizabeth Abdo Rivera</t>
  </si>
  <si>
    <t>17481404-K</t>
  </si>
  <si>
    <t>12/09/1990</t>
  </si>
  <si>
    <t>Pob. Aconcagua, calle rio maule, #27</t>
  </si>
  <si>
    <t>nahed.abdo.na@gmail.com</t>
  </si>
  <si>
    <t>01/10/2016</t>
  </si>
  <si>
    <t>Nataly Victoria Yanca Meza</t>
  </si>
  <si>
    <t>17635669-3</t>
  </si>
  <si>
    <t>14/02/1991</t>
  </si>
  <si>
    <t>Villa Alberto Hurtado II psje 2 #95 Artificio.</t>
  </si>
  <si>
    <t>nyanca28@gmail.com</t>
  </si>
  <si>
    <t>13/05/2019</t>
  </si>
  <si>
    <t>Nayaret Yazmin Hidalgo Aguilar</t>
  </si>
  <si>
    <t>13992825-3</t>
  </si>
  <si>
    <t>13/06/1981</t>
  </si>
  <si>
    <t>Lago peñuelas 860, Torre 4, Dpto 101, Santa Julia</t>
  </si>
  <si>
    <t>Nayaret.hidalgo@gmail.com</t>
  </si>
  <si>
    <t>01/12/2005</t>
  </si>
  <si>
    <t>Nelida Jeanette Carvacho Bazaes</t>
  </si>
  <si>
    <t>13186627-5</t>
  </si>
  <si>
    <t>12/10/1977</t>
  </si>
  <si>
    <t>Príncipe de Gales Princesa Ana 7</t>
  </si>
  <si>
    <t>nelidac31@gmail.com</t>
  </si>
  <si>
    <t>02/11/2020</t>
  </si>
  <si>
    <t>Nicolás Javier Yáñez Aedo</t>
  </si>
  <si>
    <t>17118314-6</t>
  </si>
  <si>
    <t>20/10/1988</t>
  </si>
  <si>
    <t>23 Norte 1157 Santa Inés</t>
  </si>
  <si>
    <t>nicojya@gmail.com</t>
  </si>
  <si>
    <t>10/11/2014</t>
  </si>
  <si>
    <t>Nicole Stefany León Prado</t>
  </si>
  <si>
    <t>19153450-6</t>
  </si>
  <si>
    <t>28/03/1996</t>
  </si>
  <si>
    <t>belloto norte calle lincoyan con pasaje lincoyan 441B casa 2</t>
  </si>
  <si>
    <t>nichoole@gmail.com</t>
  </si>
  <si>
    <t>Nishmy Margarita Lopez Navarro</t>
  </si>
  <si>
    <t>6324034-6</t>
  </si>
  <si>
    <t>15/04/1956</t>
  </si>
  <si>
    <t>Psje. Aldo Francia 2382, Villa Jorge Teillier, Troncos Viejos.</t>
  </si>
  <si>
    <t>lopeznavarromimi@gmail.com</t>
  </si>
  <si>
    <t>03/12/2007</t>
  </si>
  <si>
    <t>Paloma Cecilia Urzúa Anabalón</t>
  </si>
  <si>
    <t>17208915-1</t>
  </si>
  <si>
    <t>03/01/1989</t>
  </si>
  <si>
    <t>Calle Dolores #223, Belloto 2000</t>
  </si>
  <si>
    <t>urzuapali@gmail.com</t>
  </si>
  <si>
    <t>01/06/2022</t>
  </si>
  <si>
    <t>Pamela Angelica Moena Borbaran</t>
  </si>
  <si>
    <t>17559575-9</t>
  </si>
  <si>
    <t>13/09/1990</t>
  </si>
  <si>
    <t>|</t>
  </si>
  <si>
    <t>Merced Poniente 77, Recreo</t>
  </si>
  <si>
    <t>moena.1996.90@gmail.com</t>
  </si>
  <si>
    <t>16/08/2021</t>
  </si>
  <si>
    <t>Pamela Karina Morales Barrera</t>
  </si>
  <si>
    <t>16887631-9</t>
  </si>
  <si>
    <t>26/06/1988</t>
  </si>
  <si>
    <t>Del manzano 3446 block 19 departamento 11, población la concepción, Miraflores Alto</t>
  </si>
  <si>
    <t>pame.morales.b26@gmail.com</t>
  </si>
  <si>
    <t>21/01/2013</t>
  </si>
  <si>
    <t>Paola Ximena Eyzaguirre Tapia</t>
  </si>
  <si>
    <t>14588726-7</t>
  </si>
  <si>
    <t>05/08/1976</t>
  </si>
  <si>
    <t>Los Jazmines F-1, Achupallas</t>
  </si>
  <si>
    <t>peyzaguirret@gmail.com</t>
  </si>
  <si>
    <t>02/11/1998</t>
  </si>
  <si>
    <t>Patricia Graciela Álvarez Muñoz</t>
  </si>
  <si>
    <t>9196025-7</t>
  </si>
  <si>
    <t>05/02/1962</t>
  </si>
  <si>
    <t>Población Riesco, Calle Eugenio Gana #70</t>
  </si>
  <si>
    <t>patriciagracielaalvarez@gmail.com</t>
  </si>
  <si>
    <t>01/06/2008</t>
  </si>
  <si>
    <t>Patricia Monckton Lizana</t>
  </si>
  <si>
    <t>3957088-2</t>
  </si>
  <si>
    <t>san martin 800, Dpto. 1305</t>
  </si>
  <si>
    <t>contabilidad@aclin.cl</t>
  </si>
  <si>
    <t>01/08/2020</t>
  </si>
  <si>
    <t>Jefe Seccion Control y Finanzas</t>
  </si>
  <si>
    <t>Patricio Javier Aravena Rosas</t>
  </si>
  <si>
    <t>16143407-8</t>
  </si>
  <si>
    <t>28/10/1985</t>
  </si>
  <si>
    <t>Madrid #1510, Casa 72, Condominio los Maitenes II</t>
  </si>
  <si>
    <t>patricio_patricio@hotmail.com</t>
  </si>
  <si>
    <t>06/08/2019</t>
  </si>
  <si>
    <t>Encargado de Abastecimiento, Transporte y Logística</t>
  </si>
  <si>
    <t>Paula Andrea Cisternas Fenández</t>
  </si>
  <si>
    <t>13994518-2</t>
  </si>
  <si>
    <t>27/05/1981</t>
  </si>
  <si>
    <t>Rio Rapel #419, Villa Aconcagua</t>
  </si>
  <si>
    <t>paulacisfer@gmail.com</t>
  </si>
  <si>
    <t>01/04/2010</t>
  </si>
  <si>
    <t>Paula Francisca Rodríguez Pérez</t>
  </si>
  <si>
    <t>19618120-2</t>
  </si>
  <si>
    <t>París #1548, El Retiro</t>
  </si>
  <si>
    <t xml:space="preserve">paaula.frp@gmail.com </t>
  </si>
  <si>
    <t>05/11/2024</t>
  </si>
  <si>
    <t>Paulina Constanza Sepúlveda Pino</t>
  </si>
  <si>
    <t>18584257-6</t>
  </si>
  <si>
    <t>el Sauce 621, Curauma</t>
  </si>
  <si>
    <t>pausp21@gmail.com</t>
  </si>
  <si>
    <t>04/10/2021</t>
  </si>
  <si>
    <t>Paulina Jesús Tapia Hernandez</t>
  </si>
  <si>
    <t>20.010.776-4</t>
  </si>
  <si>
    <t>las Cinerarias 1145</t>
  </si>
  <si>
    <t>Concón</t>
  </si>
  <si>
    <t>paulitapia98@gmail.com</t>
  </si>
  <si>
    <t>vigencia</t>
  </si>
  <si>
    <t>01/09/2024</t>
  </si>
  <si>
    <t>Encargada de Redes sociales</t>
  </si>
  <si>
    <t>Paulina Marisel Cabrera Rosales</t>
  </si>
  <si>
    <t>12847343-2</t>
  </si>
  <si>
    <t>29/11/1975</t>
  </si>
  <si>
    <t>Avenida Parque Sur 1602 Condominio Alto Laguna C-18, Curauma</t>
  </si>
  <si>
    <t>paulina.cabrera.rosales@gmail.com</t>
  </si>
  <si>
    <t>01/07/2014</t>
  </si>
  <si>
    <t>Priscilla Alejandra Squella Ochoa</t>
  </si>
  <si>
    <t>15560851-K</t>
  </si>
  <si>
    <t>16/03/1982</t>
  </si>
  <si>
    <t>Jose Orrego 199 torre A depto 12, edifico Avila, Gómez  Carreño,</t>
  </si>
  <si>
    <t>priscilla.squella@gmail.com</t>
  </si>
  <si>
    <t>cuprum</t>
  </si>
  <si>
    <t>01/12/2010</t>
  </si>
  <si>
    <t>Rachel Noemi Hidalgo Parraguez</t>
  </si>
  <si>
    <t>19214164-8</t>
  </si>
  <si>
    <t>19/01/1996</t>
  </si>
  <si>
    <t>Huellacanal 35</t>
  </si>
  <si>
    <t>rachel.hidalgo.p@gmail.com</t>
  </si>
  <si>
    <t>13/04/2021</t>
  </si>
  <si>
    <t>Reina Edith Bandres De Arriagada</t>
  </si>
  <si>
    <t>14646388-6</t>
  </si>
  <si>
    <t>06/01/1969</t>
  </si>
  <si>
    <t>Pasaje Alfonso Leng 520 Belloto Norte Quilpué</t>
  </si>
  <si>
    <t>reina.edith.bandres@gmail.com</t>
  </si>
  <si>
    <t>02/08/2004</t>
  </si>
  <si>
    <t>Rinnett Gabriela Cedeño Chaparro</t>
  </si>
  <si>
    <t>26856532-9</t>
  </si>
  <si>
    <t>20/04/1978</t>
  </si>
  <si>
    <t>Errázuriz 560, Depto 23</t>
  </si>
  <si>
    <t>rinnettced@gmail.com</t>
  </si>
  <si>
    <t>11/05/2021</t>
  </si>
  <si>
    <t>Secretaria de Convenios</t>
  </si>
  <si>
    <t>Roberto Cristhian Urizar Zavala</t>
  </si>
  <si>
    <t>15023785-8</t>
  </si>
  <si>
    <t>07/03/1983</t>
  </si>
  <si>
    <t>Pasaje La cumbre #31, Curauma</t>
  </si>
  <si>
    <t>rcurizar@hotmail.com</t>
  </si>
  <si>
    <t>01/12/2012</t>
  </si>
  <si>
    <t>Rosa Carmen Miranda Guzman</t>
  </si>
  <si>
    <t>12819781-8</t>
  </si>
  <si>
    <t>10/10/1975</t>
  </si>
  <si>
    <t>Calle Grecia 95, torre 4, depto 304, placilla</t>
  </si>
  <si>
    <t>rmiranda3596@gmail.com</t>
  </si>
  <si>
    <t>24/10/2017</t>
  </si>
  <si>
    <t>Rosa Maria Zambrano Mancilla</t>
  </si>
  <si>
    <t>26618562-6</t>
  </si>
  <si>
    <t>07/02/1971</t>
  </si>
  <si>
    <t>Pte. San Pedro de Atacama, Block 10, Depa 37, Mirador de Reñaca</t>
  </si>
  <si>
    <t>rosazambrano15@hotmail.com</t>
  </si>
  <si>
    <t>Rubia Martiza Ramirez Rojas</t>
  </si>
  <si>
    <t>26225533-6</t>
  </si>
  <si>
    <t>29/09/1981</t>
  </si>
  <si>
    <t>ruby19ma@gmail.com</t>
  </si>
  <si>
    <t>05/11/2018</t>
  </si>
  <si>
    <t>Encargada de Capacitación e Inducción</t>
  </si>
  <si>
    <t>Sabrina Soto Sepulveda</t>
  </si>
  <si>
    <t>11219368-5</t>
  </si>
  <si>
    <t>11/12/1967</t>
  </si>
  <si>
    <t>Uribe 325, El retiro</t>
  </si>
  <si>
    <t>ssototm@gmail.com</t>
  </si>
  <si>
    <t>02/12/1992</t>
  </si>
  <si>
    <t>Sarahis de los Ángeles Gonzalez Guzman</t>
  </si>
  <si>
    <t>26035955-k</t>
  </si>
  <si>
    <t>Calle La Torre y bandurrias, Santa Julia, Viña del Mar.</t>
  </si>
  <si>
    <t>sarahisgonzalezg@gmail.com</t>
  </si>
  <si>
    <t>17/05/2024</t>
  </si>
  <si>
    <t>Scarlett Andrea Leiva Navarro</t>
  </si>
  <si>
    <t>17478861-8</t>
  </si>
  <si>
    <t>09/02/1990</t>
  </si>
  <si>
    <t>Lago Riñihue 1250 Condominio Vista Santa Julia Torre B depto 304</t>
  </si>
  <si>
    <t>Scarlettleiva.90@gmail.com</t>
  </si>
  <si>
    <t>01/09/2010</t>
  </si>
  <si>
    <t>Sergio Andrés Guerrero Badaracco</t>
  </si>
  <si>
    <t>16301097-6</t>
  </si>
  <si>
    <t>07/02/1986</t>
  </si>
  <si>
    <t>Riveros Cruz 777, Casa G, Miraflores Bajo</t>
  </si>
  <si>
    <t>s.guerrero@aclin.cl</t>
  </si>
  <si>
    <t>01/01/2011</t>
  </si>
  <si>
    <t>Sergio Octavio Tapia Carrere</t>
  </si>
  <si>
    <t>6661928-1</t>
  </si>
  <si>
    <t>19/09/1951</t>
  </si>
  <si>
    <t>Cinerarias 1145</t>
  </si>
  <si>
    <t>sergiotapiacarrere@gmail.com</t>
  </si>
  <si>
    <t>Silvia Evelina Herrera Mateluna</t>
  </si>
  <si>
    <t>9644721-3</t>
  </si>
  <si>
    <t>26/02/1965</t>
  </si>
  <si>
    <t>Calle Seis #668</t>
  </si>
  <si>
    <t>Silvia_herrera_m@hotmail.com</t>
  </si>
  <si>
    <t>17/07/2018</t>
  </si>
  <si>
    <t>Solange Carola Figueroa Riveros</t>
  </si>
  <si>
    <t>15560498-0</t>
  </si>
  <si>
    <t>Calle Karen 539, Paradero 5 Achupallas</t>
  </si>
  <si>
    <t>solange.figueroa.r@gmail.com</t>
  </si>
  <si>
    <t>13/05/2024</t>
  </si>
  <si>
    <t>Sonia Margarita Parraguez Toledo</t>
  </si>
  <si>
    <t>17388112-6</t>
  </si>
  <si>
    <t>31/12/1989</t>
  </si>
  <si>
    <t>Huellacanal #5, Nogales</t>
  </si>
  <si>
    <t>Sonia.parraguez.t@gmail.com</t>
  </si>
  <si>
    <t>08/04/2015</t>
  </si>
  <si>
    <t>Stephanie Patricia Milla Bockway</t>
  </si>
  <si>
    <t>17433476-5</t>
  </si>
  <si>
    <t>16/10/1989</t>
  </si>
  <si>
    <t>Jorge kenrick 780 E 105</t>
  </si>
  <si>
    <t>tefi.milla@gmail.com</t>
  </si>
  <si>
    <t>15/11/2021</t>
  </si>
  <si>
    <t>Sue-Ellent Castillo Inzunza</t>
  </si>
  <si>
    <t>16330942-4</t>
  </si>
  <si>
    <t>30/04/1986</t>
  </si>
  <si>
    <t>Jose Bohr 1459</t>
  </si>
  <si>
    <t>Sue_ellent@hotmail.es</t>
  </si>
  <si>
    <t>17/04/2017</t>
  </si>
  <si>
    <t>Susan Andrea Herrera Bernal</t>
  </si>
  <si>
    <t>20359063-6</t>
  </si>
  <si>
    <t>23/11/1999</t>
  </si>
  <si>
    <t>Nigeria 255, Villa Hermosa</t>
  </si>
  <si>
    <t>susan99andrea@gmail.com</t>
  </si>
  <si>
    <t>04/05/2021</t>
  </si>
  <si>
    <t>Tabita Elizabeth Hurtado Astudillo</t>
  </si>
  <si>
    <t>19394810-3</t>
  </si>
  <si>
    <t>20/10/1996</t>
  </si>
  <si>
    <t>Huellacanal #331, Nogales</t>
  </si>
  <si>
    <t>taabiielizabethurtadoastudillo@gmail.com</t>
  </si>
  <si>
    <t>Vanessa Del Carmen Zúñiga Valencia</t>
  </si>
  <si>
    <t>17.143.159-K</t>
  </si>
  <si>
    <t>Segunda del Sur 705, Placillas de Peñuela</t>
  </si>
  <si>
    <t>vanessa.carmen.valencia@gmail.com</t>
  </si>
  <si>
    <t>06/05/2024</t>
  </si>
  <si>
    <t>Vestalia Cristina Núñez López</t>
  </si>
  <si>
    <t>25673906-2</t>
  </si>
  <si>
    <t>Inca de Oro #12</t>
  </si>
  <si>
    <t>vestalia2016@hotmail.com</t>
  </si>
  <si>
    <t>Viviana Alejandra Galvez Maldonado</t>
  </si>
  <si>
    <t>16486154-6</t>
  </si>
  <si>
    <t>22/09/1986</t>
  </si>
  <si>
    <t>Pje. Los Gladiolos #617 Villa El Rocío</t>
  </si>
  <si>
    <t>vivygalvezm@gmail.com</t>
  </si>
  <si>
    <t>18/03/2019</t>
  </si>
  <si>
    <t>Ximena Luisa Muñoz Vasquez</t>
  </si>
  <si>
    <t>12048884-8</t>
  </si>
  <si>
    <t>15/04/1968</t>
  </si>
  <si>
    <t>Las Vertientes N° 1, Villa Monte, Nueva Aurora</t>
  </si>
  <si>
    <t>xmunoz068@gmail.com</t>
  </si>
  <si>
    <t>15/12/2016</t>
  </si>
  <si>
    <t>Yanira Zarate Morales</t>
  </si>
  <si>
    <t>12006691-9</t>
  </si>
  <si>
    <t>06/12/1967</t>
  </si>
  <si>
    <t>Siete Hermanas, block E11, depto 102</t>
  </si>
  <si>
    <t>Yanirazarate1@hotmail.com</t>
  </si>
  <si>
    <t>12/06/2002</t>
  </si>
  <si>
    <t>Yoaska del Pilar Macaya Jorquera</t>
  </si>
  <si>
    <t>18256261-0</t>
  </si>
  <si>
    <t>14/08/1992</t>
  </si>
  <si>
    <t xml:space="preserve">Ohiggins 1338 dpto 65 </t>
  </si>
  <si>
    <t>yoa.macayajorquera@gmail.com</t>
  </si>
  <si>
    <t>Consalud</t>
  </si>
  <si>
    <t>03/01/2022</t>
  </si>
  <si>
    <t>Yohana Cristina Jeldrez Busquet</t>
  </si>
  <si>
    <t>12117207-0</t>
  </si>
  <si>
    <t>17/11/1979</t>
  </si>
  <si>
    <t>Rafael Fabres #2596, Casa 14, Condominio Puerto Marino VI</t>
  </si>
  <si>
    <t>yohana5088@gmail.com</t>
  </si>
  <si>
    <t>01/08/2022</t>
  </si>
  <si>
    <t>Yovanka Ismenia Barraza León</t>
  </si>
  <si>
    <t>13192101-2</t>
  </si>
  <si>
    <t>19/01/1977</t>
  </si>
  <si>
    <t>Calle Moreno Vial #958, Paradero 3, Nva Aurora</t>
  </si>
  <si>
    <t>Yovankabarraza.l@gmail.com</t>
  </si>
  <si>
    <t>01/04/2016</t>
  </si>
  <si>
    <t>Georgina Maribel Casanga Urra</t>
  </si>
  <si>
    <t>15062630-7</t>
  </si>
  <si>
    <t>Calle Nueva Parcela #4, Las Pataguas</t>
  </si>
  <si>
    <t>georginaurra3@gmail.com</t>
  </si>
  <si>
    <t xml:space="preserve"> 9211 2358</t>
  </si>
  <si>
    <t>17/03/2025</t>
  </si>
  <si>
    <t>Jacqueline Teresa Ortiz Sanchez</t>
  </si>
  <si>
    <t>17373461-1</t>
  </si>
  <si>
    <t>02/02/1990</t>
  </si>
  <si>
    <t>Pasaje la porteña # 111, Cerro Rodelillo</t>
  </si>
  <si>
    <t>ojacqueline572@gmail.com</t>
  </si>
  <si>
    <t>20/03/2025</t>
  </si>
  <si>
    <t>Estefani Andrea Rivera Rivera</t>
  </si>
  <si>
    <t>16501690-4</t>
  </si>
  <si>
    <t>03/11/1986</t>
  </si>
  <si>
    <t>Pasaje Vía Láctea #5, Forestal Alto</t>
  </si>
  <si>
    <t>stephy_104@hotmail.com</t>
  </si>
  <si>
    <t>03/04/2025</t>
  </si>
  <si>
    <t>Claudia Daniela Ortiz Retamales</t>
  </si>
  <si>
    <t>15421825-4</t>
  </si>
  <si>
    <t>Pasaje 9 #681, Los Paltos</t>
  </si>
  <si>
    <t>ita.claudia2020@gmail.com</t>
  </si>
  <si>
    <t>02/05/2025</t>
  </si>
  <si>
    <t>Norka Rufiyelis Huice Caripe</t>
  </si>
  <si>
    <t>26800000-3</t>
  </si>
  <si>
    <t>01 oriente 1240</t>
  </si>
  <si>
    <t>mariamcari03@gmail.com</t>
  </si>
  <si>
    <t>Gissel Andrea Gallardo Baez</t>
  </si>
  <si>
    <t>16550903-K</t>
  </si>
  <si>
    <t>Villa La Gloria, Pasaje Agua Santa 128</t>
  </si>
  <si>
    <t>Los Andes</t>
  </si>
  <si>
    <t>gisselandrea@outlook.com</t>
  </si>
  <si>
    <t>08/09/2025</t>
  </si>
  <si>
    <t>Fijo (31/12/2025)</t>
  </si>
  <si>
    <t>No</t>
  </si>
  <si>
    <t>Ivone Yesenia Osorio Montenegro</t>
  </si>
  <si>
    <t>15061223-3</t>
  </si>
  <si>
    <t xml:space="preserve">Calle El Arenal, Paradero 11, Condominio El Portal, Casa 12, Calle Larga </t>
  </si>
  <si>
    <t>ivoneosorio13@gmail.com</t>
  </si>
  <si>
    <t>Yenifer Romina Vargas González</t>
  </si>
  <si>
    <t>17817885-7</t>
  </si>
  <si>
    <t>Las Lilas #47, Jardines Familiares</t>
  </si>
  <si>
    <t>yvargas.1302@gmail.com</t>
  </si>
  <si>
    <t>Carolina Marlene Trincado Boitano</t>
  </si>
  <si>
    <t>14464697-5</t>
  </si>
  <si>
    <t>Arauco 340, Villa El Estero, San Esteban</t>
  </si>
  <si>
    <t>tens.carolina.trincado@gmail.com</t>
  </si>
  <si>
    <t>Maite Araceli Rodríguez Lagomarsino</t>
  </si>
  <si>
    <t>20481364-7</t>
  </si>
  <si>
    <t>San Luis 256 Cerro Placeres</t>
  </si>
  <si>
    <t>maite.rodriguez.lagomarsino12@gmail.com</t>
  </si>
  <si>
    <t>pendiente</t>
  </si>
  <si>
    <t>17/11/2025</t>
  </si>
  <si>
    <t>Cinthya Valezka Rios Bernal</t>
  </si>
  <si>
    <t>15079779-9</t>
  </si>
  <si>
    <t>Rafael fabres 580, casa 17,  belloto norte</t>
  </si>
  <si>
    <t>rioscinthya@gmail.com</t>
  </si>
  <si>
    <t>10/11/2025</t>
  </si>
  <si>
    <t>Jenni Patricia Urbina Urbina</t>
  </si>
  <si>
    <t>16970051-6</t>
  </si>
  <si>
    <t>Calle Tucapel #224</t>
  </si>
  <si>
    <t>jennipatriciaurbina@gmail.com</t>
  </si>
  <si>
    <t>01/12/2025</t>
  </si>
  <si>
    <t>Francisca Ahilyn Elgueta González</t>
  </si>
  <si>
    <t>18586561-4</t>
  </si>
  <si>
    <t>f.elgueta.994@gmail.com</t>
  </si>
  <si>
    <t>Maria Paz Camus Salazar</t>
  </si>
  <si>
    <t>18705380-3</t>
  </si>
  <si>
    <t>m.camus.salazar@gmail.com</t>
  </si>
  <si>
    <t>octubre</t>
  </si>
  <si>
    <t>Enfermera</t>
  </si>
  <si>
    <t>febrero</t>
  </si>
  <si>
    <t>junio</t>
  </si>
  <si>
    <t>mayo</t>
  </si>
  <si>
    <t>enero</t>
  </si>
  <si>
    <t>agosto</t>
  </si>
  <si>
    <t>marzo</t>
  </si>
  <si>
    <t>diciembre</t>
  </si>
  <si>
    <t>noviembre</t>
  </si>
  <si>
    <t>abril</t>
  </si>
  <si>
    <t>Matrona</t>
  </si>
  <si>
    <t>Tipo Contrato</t>
  </si>
  <si>
    <t>Alicia Jimena Vieira Peñaloza</t>
  </si>
  <si>
    <t>6198760-6</t>
  </si>
  <si>
    <t>Valles del Huinganal, Las bellotas, parcela 199</t>
  </si>
  <si>
    <t>alitavieirap@gmail.com</t>
  </si>
  <si>
    <t>01/10/2025</t>
  </si>
  <si>
    <t>indefinido</t>
  </si>
  <si>
    <t>prestaciones y servicios Clinicos Limitada</t>
  </si>
  <si>
    <t>Camila Natalia Casanova Calffa</t>
  </si>
  <si>
    <t>16885648-2</t>
  </si>
  <si>
    <t>22/12/1987</t>
  </si>
  <si>
    <t>Bellatrix 8, depto. 832, Población Naval, Las Salinas</t>
  </si>
  <si>
    <t>camilacasanova.c@gmail.com</t>
  </si>
  <si>
    <t>03/12/2018</t>
  </si>
  <si>
    <t>Elizabeth Amanda Malebran Solis</t>
  </si>
  <si>
    <t>13421288-8</t>
  </si>
  <si>
    <t>Sendero los Reyes #577</t>
  </si>
  <si>
    <t>elizabeth.malebran78@gmail.com</t>
  </si>
  <si>
    <t>Emita Andrea Valladares Briceño</t>
  </si>
  <si>
    <t>15951417-k</t>
  </si>
  <si>
    <t>Serrano 1282</t>
  </si>
  <si>
    <t>mlyta2012@gmail.com</t>
  </si>
  <si>
    <t>fonasa</t>
  </si>
  <si>
    <t>Fabiola Karina Aguilar Jeldres</t>
  </si>
  <si>
    <t>14123417-K</t>
  </si>
  <si>
    <t>22/10/1981</t>
  </si>
  <si>
    <t>Psje Viento Sur #58, Molinos del Sol.</t>
  </si>
  <si>
    <t>faguilarjeldres@gmail.com</t>
  </si>
  <si>
    <t>Estanislao Loayza 126</t>
  </si>
  <si>
    <t>Macarena Andrea Valle Ñuñez</t>
  </si>
  <si>
    <t>15068342-4</t>
  </si>
  <si>
    <t>24/06/1982</t>
  </si>
  <si>
    <t>Los Castaños 830</t>
  </si>
  <si>
    <t>macavalle24@hotmail.com</t>
  </si>
  <si>
    <t>01/03/2014</t>
  </si>
  <si>
    <t>Macarena Cecilia Alastuey Jéldrez</t>
  </si>
  <si>
    <t>10868397-K</t>
  </si>
  <si>
    <t>09/10/1972</t>
  </si>
  <si>
    <t>Las Tórtolas 155 casa 42, Reñaca</t>
  </si>
  <si>
    <t>Maca.alastuey@gmail.com</t>
  </si>
  <si>
    <t>09/11/2009</t>
  </si>
  <si>
    <t>Avenida quinta con calle seis, 157C</t>
  </si>
  <si>
    <t>Mariet Margarita Vilches Gajardo</t>
  </si>
  <si>
    <t>12608984-8</t>
  </si>
  <si>
    <t>19/05/1974</t>
  </si>
  <si>
    <t>Melinka 349, Villa Calbuco</t>
  </si>
  <si>
    <t>Mariet.vilches@gmail.com</t>
  </si>
  <si>
    <t>01/04/2018</t>
  </si>
  <si>
    <t>Pasaje Maravillar 1838, Santa Inés</t>
  </si>
  <si>
    <t>Tamara Andrea Rojas Contreras</t>
  </si>
  <si>
    <t>16549047-9</t>
  </si>
  <si>
    <t>11/10/1986</t>
  </si>
  <si>
    <t>Sirius 6, Población Naval las Salinas</t>
  </si>
  <si>
    <t>tamita.r@gmail.com</t>
  </si>
  <si>
    <t>19/10/2020</t>
  </si>
  <si>
    <t>Tamara Andrea Quintana Flores</t>
  </si>
  <si>
    <t>17651834-0</t>
  </si>
  <si>
    <t>31/01/1991</t>
  </si>
  <si>
    <t>4 norte #946</t>
  </si>
  <si>
    <t>t.quintanaflores@gmail.com</t>
  </si>
  <si>
    <t>09/02/2026</t>
  </si>
  <si>
    <t>Fijo (08/03/2026)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</si>
</sst>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/m/yyyy"/>
    <numFmt numFmtId="166" formatCode="dd&quot;/&quot;mm&quot;/&quot;yyyy"/>
    <numFmt numFmtId="167" formatCode="dd/mm/yyyy"/>
    <numFmt numFmtId="168" formatCode="d-m-yyyy"/>
  </numFmts>
  <fonts count="16">
    <font>
      <sz val="11.0"/>
      <color theme="1"/>
      <name val="Aptos Narrow"/>
      <scheme val="minor"/>
    </font>
    <font>
      <b/>
      <sz val="11.0"/>
      <color rgb="FF27744E"/>
      <name val="Arial"/>
    </font>
    <font>
      <b/>
      <sz val="9.0"/>
      <color rgb="FFFFFFFF"/>
      <name val="Calibri"/>
    </font>
    <font>
      <b/>
      <sz val="9.0"/>
      <color rgb="FF1A5C38"/>
      <name val="Calibri"/>
    </font>
    <font>
      <b/>
      <sz val="9.0"/>
      <color rgb="FF1A1A1A"/>
      <name val="Calibri"/>
    </font>
    <font>
      <sz val="9.0"/>
      <color rgb="FF1A1A1A"/>
      <name val="Calibri"/>
    </font>
    <font>
      <sz val="9.0"/>
      <color rgb="FF0D47A1"/>
      <name val="Calibri"/>
    </font>
    <font>
      <b/>
      <sz val="9.0"/>
      <color rgb="FF1B5E20"/>
      <name val="Calibri"/>
    </font>
    <font>
      <sz val="11.0"/>
      <color theme="1"/>
      <name val="Calibri"/>
    </font>
    <font>
      <u/>
      <sz val="9.0"/>
      <color rgb="FF1A1A1A"/>
      <name val="Calibri"/>
    </font>
    <font>
      <u/>
      <sz val="9.0"/>
      <color rgb="FF1A1A1A"/>
      <name val="Calibri"/>
    </font>
    <font>
      <b/>
      <sz val="9.0"/>
      <color rgb="FFB71C1C"/>
      <name val="Calibri"/>
    </font>
    <font>
      <color theme="1"/>
      <name val="Aptos Narrow"/>
    </font>
    <font>
      <sz val="11.0"/>
      <color theme="1"/>
      <name val="Aptos Narrow"/>
    </font>
    <font>
      <sz val="9.0"/>
      <color rgb="FF5D4037"/>
      <name val="Calibri"/>
    </font>
    <font>
      <sz val="11.0"/>
      <color rgb="FF1E1E1E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5C38"/>
        <bgColor rgb="FF1A5C38"/>
      </patternFill>
    </fill>
    <fill>
      <patternFill patternType="solid">
        <fgColor rgb="FF2E7D4F"/>
        <bgColor rgb="FF2E7D4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C8E6C9"/>
        <bgColor rgb="FFC8E6C9"/>
      </patternFill>
    </fill>
    <fill>
      <patternFill patternType="solid">
        <fgColor rgb="FFF0FAF4"/>
        <bgColor rgb="FFF0FAF4"/>
      </patternFill>
    </fill>
    <fill>
      <patternFill patternType="solid">
        <fgColor rgb="FFFFCDD2"/>
        <bgColor rgb="FFFFCDD2"/>
      </patternFill>
    </fill>
    <fill>
      <patternFill patternType="solid">
        <fgColor rgb="FFFFF9C4"/>
        <bgColor rgb="FFFFF9C4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3" fontId="2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5" numFmtId="49" xfId="0" applyAlignment="1" applyBorder="1" applyFont="1" applyNumberFormat="1">
      <alignment horizontal="left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ont="1">
      <alignment horizontal="left"/>
    </xf>
    <xf borderId="1" fillId="7" fontId="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ont="1">
      <alignment horizontal="left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1" fillId="7" fontId="5" numFmtId="164" xfId="0" applyAlignment="1" applyBorder="1" applyFont="1" applyNumberFormat="1">
      <alignment horizontal="left" shrinkToFit="0" vertical="center" wrapText="1"/>
    </xf>
    <xf borderId="1" fillId="7" fontId="5" numFmtId="49" xfId="0" applyAlignment="1" applyBorder="1" applyFont="1" applyNumberFormat="1">
      <alignment horizontal="left" shrinkToFit="0" vertical="center" wrapText="1"/>
    </xf>
    <xf borderId="1" fillId="7" fontId="8" numFmtId="0" xfId="0" applyAlignment="1" applyBorder="1" applyFont="1">
      <alignment horizontal="left"/>
    </xf>
    <xf borderId="1" fillId="7" fontId="5" numFmtId="165" xfId="0" applyAlignment="1" applyBorder="1" applyFont="1" applyNumberFormat="1">
      <alignment horizontal="left" shrinkToFit="0" vertical="center" wrapText="1"/>
    </xf>
    <xf borderId="1" fillId="4" fontId="5" numFmtId="166" xfId="0" applyAlignment="1" applyBorder="1" applyFont="1" applyNumberFormat="1">
      <alignment horizontal="left" shrinkToFit="0" vertical="center" wrapText="1"/>
    </xf>
    <xf borderId="1" fillId="4" fontId="5" numFmtId="165" xfId="0" applyAlignment="1" applyBorder="1" applyFont="1" applyNumberFormat="1">
      <alignment horizontal="left" shrinkToFit="0" vertical="center" wrapText="1"/>
    </xf>
    <xf borderId="1" fillId="7" fontId="9" numFmtId="0" xfId="0" applyAlignment="1" applyBorder="1" applyFont="1">
      <alignment horizontal="left" shrinkToFit="0" vertical="center" wrapText="1"/>
    </xf>
    <xf borderId="1" fillId="7" fontId="5" numFmtId="49" xfId="0" applyAlignment="1" applyBorder="1" applyFont="1" applyNumberFormat="1">
      <alignment horizontal="center" shrinkToFit="0" vertical="center" wrapText="1"/>
    </xf>
    <xf borderId="1" fillId="4" fontId="10" numFmtId="0" xfId="0" applyAlignment="1" applyBorder="1" applyFont="1">
      <alignment horizontal="left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1" fillId="7" fontId="5" numFmtId="166" xfId="0" applyAlignment="1" applyBorder="1" applyFont="1" applyNumberFormat="1">
      <alignment horizontal="left" shrinkToFit="0" vertical="center" wrapText="1"/>
    </xf>
    <xf borderId="1" fillId="7" fontId="12" numFmtId="0" xfId="0" applyBorder="1" applyFont="1"/>
    <xf borderId="1" fillId="7" fontId="13" numFmtId="0" xfId="0" applyBorder="1" applyFont="1"/>
    <xf borderId="1" fillId="4" fontId="12" numFmtId="0" xfId="0" applyBorder="1" applyFont="1"/>
    <xf borderId="1" fillId="4" fontId="13" numFmtId="0" xfId="0" applyBorder="1" applyFont="1"/>
    <xf borderId="1" fillId="4" fontId="8" numFmtId="0" xfId="0" applyBorder="1" applyFont="1"/>
    <xf borderId="1" fillId="7" fontId="8" numFmtId="0" xfId="0" applyBorder="1" applyFont="1"/>
    <xf borderId="1" fillId="4" fontId="5" numFmtId="49" xfId="0" applyAlignment="1" applyBorder="1" applyFont="1" applyNumberFormat="1">
      <alignment horizontal="center" shrinkToFit="0" vertical="center" wrapText="1"/>
    </xf>
    <xf borderId="1" fillId="7" fontId="5" numFmtId="167" xfId="0" applyAlignment="1" applyBorder="1" applyFont="1" applyNumberFormat="1">
      <alignment horizontal="left" shrinkToFit="0" vertical="center" wrapText="1"/>
    </xf>
    <xf borderId="1" fillId="4" fontId="5" numFmtId="168" xfId="0" applyAlignment="1" applyBorder="1" applyFont="1" applyNumberFormat="1">
      <alignment horizontal="left" shrinkToFit="0" vertical="center" wrapText="1"/>
    </xf>
    <xf borderId="1" fillId="7" fontId="5" numFmtId="168" xfId="0" applyAlignment="1" applyBorder="1" applyFont="1" applyNumberFormat="1">
      <alignment horizontal="left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1" fillId="4" fontId="15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4" fontId="8" numFmtId="49" xfId="0" applyAlignment="1" applyBorder="1" applyFont="1" applyNumberFormat="1">
      <alignment horizontal="center"/>
    </xf>
    <xf borderId="1" fillId="7" fontId="15" numFmtId="0" xfId="0" applyAlignment="1" applyBorder="1" applyFont="1">
      <alignment horizontal="center"/>
    </xf>
    <xf borderId="1" fillId="7" fontId="8" numFmtId="0" xfId="0" applyAlignment="1" applyBorder="1" applyFont="1">
      <alignment horizontal="center"/>
    </xf>
    <xf borderId="1" fillId="7" fontId="8" numFmtId="49" xfId="0" applyAlignment="1" applyBorder="1" applyFont="1" applyNumberFormat="1">
      <alignment horizontal="center"/>
    </xf>
    <xf borderId="0" fillId="0" fontId="13" numFmtId="0" xfId="0" applyFont="1"/>
    <xf borderId="1" fillId="4" fontId="5" numFmtId="164" xfId="0" applyAlignment="1" applyBorder="1" applyFont="1" applyNumberFormat="1">
      <alignment horizontal="left" shrinkToFit="0" vertical="center" wrapText="1"/>
    </xf>
    <xf borderId="1" fillId="4" fontId="5" numFmtId="167" xfId="0" applyAlignment="1" applyBorder="1" applyFont="1" applyNumberForma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rachel.hidalgo.p@gmail.com" TargetMode="External"/><Relationship Id="rId10" Type="http://schemas.openxmlformats.org/officeDocument/2006/relationships/hyperlink" Target="mailto:moena.1996.90@gmail.com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1.xml"/><Relationship Id="rId1" Type="http://schemas.openxmlformats.org/officeDocument/2006/relationships/comments" Target="../comments1.xml"/><Relationship Id="rId2" Type="http://schemas.openxmlformats.org/officeDocument/2006/relationships/hyperlink" Target="mailto:caroveraparra@gmail.com" TargetMode="External"/><Relationship Id="rId3" Type="http://schemas.openxmlformats.org/officeDocument/2006/relationships/hyperlink" Target="mailto:claudia.alvarez0102@gmail.com" TargetMode="External"/><Relationship Id="rId4" Type="http://schemas.openxmlformats.org/officeDocument/2006/relationships/hyperlink" Target="mailto:franciscanegretesantander@gmail.com" TargetMode="External"/><Relationship Id="rId9" Type="http://schemas.openxmlformats.org/officeDocument/2006/relationships/hyperlink" Target="mailto:nelidac31@gmail.com" TargetMode="External"/><Relationship Id="rId5" Type="http://schemas.openxmlformats.org/officeDocument/2006/relationships/hyperlink" Target="mailto:juancarodriguezperez@gmail.com" TargetMode="External"/><Relationship Id="rId6" Type="http://schemas.openxmlformats.org/officeDocument/2006/relationships/hyperlink" Target="mailto:Loretoalanisgodoy85@gmail.com" TargetMode="External"/><Relationship Id="rId7" Type="http://schemas.openxmlformats.org/officeDocument/2006/relationships/hyperlink" Target="mailto:transportetiodany@hotmail.com" TargetMode="External"/><Relationship Id="rId8" Type="http://schemas.openxmlformats.org/officeDocument/2006/relationships/hyperlink" Target="mailto:nyanca28@gmail.com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mailto:rachel.hidalgo.p@gmail.com" TargetMode="External"/><Relationship Id="rId10" Type="http://schemas.openxmlformats.org/officeDocument/2006/relationships/hyperlink" Target="mailto:moena.1996.90@gmail.com" TargetMode="External"/><Relationship Id="rId13" Type="http://schemas.openxmlformats.org/officeDocument/2006/relationships/vmlDrawing" Target="../drawings/vmlDrawing2.vml"/><Relationship Id="rId12" Type="http://schemas.openxmlformats.org/officeDocument/2006/relationships/drawing" Target="../drawings/drawing2.xml"/><Relationship Id="rId1" Type="http://schemas.openxmlformats.org/officeDocument/2006/relationships/comments" Target="../comments2.xml"/><Relationship Id="rId2" Type="http://schemas.openxmlformats.org/officeDocument/2006/relationships/hyperlink" Target="mailto:caroveraparra@gmail.com" TargetMode="External"/><Relationship Id="rId3" Type="http://schemas.openxmlformats.org/officeDocument/2006/relationships/hyperlink" Target="mailto:claudia.alvarez0102@gmail.com" TargetMode="External"/><Relationship Id="rId4" Type="http://schemas.openxmlformats.org/officeDocument/2006/relationships/hyperlink" Target="mailto:franciscanegretesantander@gmail.com" TargetMode="External"/><Relationship Id="rId9" Type="http://schemas.openxmlformats.org/officeDocument/2006/relationships/hyperlink" Target="mailto:nelidac31@gmail.com" TargetMode="External"/><Relationship Id="rId5" Type="http://schemas.openxmlformats.org/officeDocument/2006/relationships/hyperlink" Target="mailto:juancarodriguezperez@gmail.com" TargetMode="External"/><Relationship Id="rId6" Type="http://schemas.openxmlformats.org/officeDocument/2006/relationships/hyperlink" Target="mailto:Loretoalanisgodoy85@gmail.com" TargetMode="External"/><Relationship Id="rId7" Type="http://schemas.openxmlformats.org/officeDocument/2006/relationships/hyperlink" Target="mailto:transportetiodany@hotmail.com" TargetMode="External"/><Relationship Id="rId8" Type="http://schemas.openxmlformats.org/officeDocument/2006/relationships/hyperlink" Target="mailto:nyanca2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54A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hidden="1" min="1" max="1" width="5.0"/>
    <col customWidth="1" min="2" max="2" width="32.0"/>
    <col customWidth="1" hidden="1" min="3" max="3" width="14.0"/>
    <col customWidth="1" hidden="1" min="4" max="5" width="12.0"/>
    <col customWidth="1" hidden="1" min="6" max="6" width="6.0"/>
    <col customWidth="1" hidden="1" min="7" max="8" width="5.0"/>
    <col customWidth="1" hidden="1" min="9" max="9" width="10.0"/>
    <col customWidth="1" hidden="1" min="10" max="10" width="35.0"/>
    <col customWidth="1" hidden="1" min="11" max="11" width="14.0"/>
    <col customWidth="1" hidden="1" min="12" max="12" width="28.0"/>
    <col customWidth="1" hidden="1" min="13" max="13" width="14.0"/>
    <col customWidth="1" hidden="1" min="14" max="14" width="10.0"/>
    <col customWidth="1" hidden="1" min="15" max="16" width="12.0"/>
    <col customWidth="1" hidden="1" min="17" max="18" width="8.0"/>
    <col customWidth="1" min="19" max="19" width="32.0"/>
    <col customWidth="1" min="20" max="20" width="18.0"/>
    <col customWidth="1" hidden="1" min="21" max="21" width="30.0"/>
    <col customWidth="1" hidden="1" min="22" max="22" width="14.0"/>
    <col customWidth="1" hidden="1" min="23" max="24" width="10.0"/>
    <col customWidth="1" min="25" max="40" width="14.38"/>
  </cols>
  <sheetData>
    <row r="1" ht="27.75" customHeight="1">
      <c r="A1" s="1" t="s">
        <v>0</v>
      </c>
    </row>
    <row r="2" ht="30.0" hidden="1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8.0" hidden="1" customHeight="1">
      <c r="A3" s="3">
        <v>1.0</v>
      </c>
      <c r="B3" s="4" t="s">
        <v>24</v>
      </c>
      <c r="C3" s="5" t="s">
        <v>25</v>
      </c>
      <c r="D3" s="6" t="s">
        <v>26</v>
      </c>
      <c r="E3" s="7" t="s">
        <v>27</v>
      </c>
      <c r="F3" s="5" t="str">
        <f t="shared" ref="F3:F180" si="1">DATEDIF(E2,TODAY(),"Y")</f>
        <v>#VALUE!</v>
      </c>
      <c r="G3" s="5" t="str">
        <f t="shared" ref="G3:G180" si="2">DAY(E2)</f>
        <v>#VALUE!</v>
      </c>
      <c r="H3" s="5" t="str">
        <f t="shared" ref="H3:H127" si="3">MONTH(E2)</f>
        <v>#VALUE!</v>
      </c>
      <c r="I3" s="6" t="str">
        <f t="shared" ref="I3:I180" si="4">TEXT(E2,"mmmm")</f>
        <v>Fecha Nacimiento</v>
      </c>
      <c r="J3" s="6" t="s">
        <v>28</v>
      </c>
      <c r="K3" s="6" t="s">
        <v>29</v>
      </c>
      <c r="L3" s="6" t="s">
        <v>30</v>
      </c>
      <c r="M3" s="6">
        <v>7.2077856E7</v>
      </c>
      <c r="N3" s="6" t="s">
        <v>31</v>
      </c>
      <c r="O3" s="6" t="s">
        <v>32</v>
      </c>
      <c r="P3" s="7" t="s">
        <v>33</v>
      </c>
      <c r="Q3" s="5" t="str">
        <f t="shared" ref="Q3:Q180" si="5">DATEDIF(P2,TODAY(),"y")</f>
        <v>#VALUE!</v>
      </c>
      <c r="R3" s="5" t="str">
        <f t="shared" ref="R3:R180" si="6">DATEDIF(P2,TODAY(),"ym")</f>
        <v>#VALUE!</v>
      </c>
      <c r="S3" s="6" t="s">
        <v>34</v>
      </c>
      <c r="T3" s="8" t="s">
        <v>35</v>
      </c>
      <c r="U3" s="6" t="s">
        <v>36</v>
      </c>
      <c r="V3" s="5" t="s">
        <v>37</v>
      </c>
      <c r="W3" s="9" t="s">
        <v>38</v>
      </c>
      <c r="X3" s="5" t="s">
        <v>38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8.0" hidden="1" customHeight="1">
      <c r="A4" s="11">
        <v>2.0</v>
      </c>
      <c r="B4" s="12" t="s">
        <v>39</v>
      </c>
      <c r="C4" s="13" t="s">
        <v>40</v>
      </c>
      <c r="D4" s="14" t="s">
        <v>41</v>
      </c>
      <c r="E4" s="15">
        <v>33268.0</v>
      </c>
      <c r="F4" s="13">
        <f t="shared" si="1"/>
        <v>33</v>
      </c>
      <c r="G4" s="13">
        <f t="shared" si="2"/>
        <v>2</v>
      </c>
      <c r="H4" s="13">
        <f t="shared" si="3"/>
        <v>4</v>
      </c>
      <c r="I4" s="14" t="str">
        <f t="shared" si="4"/>
        <v>abril</v>
      </c>
      <c r="J4" s="14" t="s">
        <v>42</v>
      </c>
      <c r="K4" s="14" t="s">
        <v>43</v>
      </c>
      <c r="L4" s="14" t="s">
        <v>44</v>
      </c>
      <c r="M4" s="14">
        <v>9.45514488E8</v>
      </c>
      <c r="N4" s="14" t="s">
        <v>31</v>
      </c>
      <c r="O4" s="14" t="s">
        <v>32</v>
      </c>
      <c r="P4" s="16" t="s">
        <v>45</v>
      </c>
      <c r="Q4" s="13">
        <f t="shared" si="5"/>
        <v>11</v>
      </c>
      <c r="R4" s="13">
        <f t="shared" si="6"/>
        <v>4</v>
      </c>
      <c r="S4" s="14" t="s">
        <v>46</v>
      </c>
      <c r="T4" s="8" t="s">
        <v>35</v>
      </c>
      <c r="U4" s="14" t="s">
        <v>47</v>
      </c>
      <c r="V4" s="13" t="s">
        <v>48</v>
      </c>
      <c r="W4" s="9" t="s">
        <v>38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ht="18.0" hidden="1" customHeight="1">
      <c r="A5" s="3">
        <v>3.0</v>
      </c>
      <c r="B5" s="4" t="s">
        <v>49</v>
      </c>
      <c r="C5" s="5" t="s">
        <v>50</v>
      </c>
      <c r="D5" s="6" t="s">
        <v>26</v>
      </c>
      <c r="E5" s="7" t="s">
        <v>51</v>
      </c>
      <c r="F5" s="5">
        <f t="shared" si="1"/>
        <v>35</v>
      </c>
      <c r="G5" s="5">
        <f t="shared" si="2"/>
        <v>30</v>
      </c>
      <c r="H5" s="5">
        <f t="shared" si="3"/>
        <v>1</v>
      </c>
      <c r="I5" s="6" t="str">
        <f t="shared" si="4"/>
        <v>enero</v>
      </c>
      <c r="J5" s="6" t="s">
        <v>52</v>
      </c>
      <c r="K5" s="6" t="s">
        <v>53</v>
      </c>
      <c r="L5" s="6" t="s">
        <v>54</v>
      </c>
      <c r="M5" s="6">
        <v>9.6976153E7</v>
      </c>
      <c r="N5" s="6" t="s">
        <v>31</v>
      </c>
      <c r="O5" s="6" t="s">
        <v>32</v>
      </c>
      <c r="P5" s="7" t="s">
        <v>55</v>
      </c>
      <c r="Q5" s="5">
        <f t="shared" si="5"/>
        <v>4</v>
      </c>
      <c r="R5" s="5">
        <f t="shared" si="6"/>
        <v>2</v>
      </c>
      <c r="S5" s="6" t="s">
        <v>46</v>
      </c>
      <c r="T5" s="8" t="s">
        <v>35</v>
      </c>
      <c r="U5" s="6" t="s">
        <v>36</v>
      </c>
      <c r="V5" s="5" t="s">
        <v>37</v>
      </c>
      <c r="W5" s="9" t="s">
        <v>38</v>
      </c>
      <c r="X5" s="5" t="s">
        <v>38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18.0" hidden="1" customHeight="1">
      <c r="A6" s="11">
        <v>4.0</v>
      </c>
      <c r="B6" s="12" t="s">
        <v>56</v>
      </c>
      <c r="C6" s="13" t="s">
        <v>57</v>
      </c>
      <c r="D6" s="14" t="s">
        <v>26</v>
      </c>
      <c r="E6" s="18">
        <v>28332.0</v>
      </c>
      <c r="F6" s="13">
        <f t="shared" si="1"/>
        <v>39</v>
      </c>
      <c r="G6" s="13">
        <f t="shared" si="2"/>
        <v>4</v>
      </c>
      <c r="H6" s="13">
        <f t="shared" si="3"/>
        <v>10</v>
      </c>
      <c r="I6" s="14" t="str">
        <f t="shared" si="4"/>
        <v>octubre</v>
      </c>
      <c r="J6" s="14" t="s">
        <v>58</v>
      </c>
      <c r="K6" s="14" t="s">
        <v>59</v>
      </c>
      <c r="L6" s="14" t="s">
        <v>60</v>
      </c>
      <c r="M6" s="14">
        <v>9.50167991E8</v>
      </c>
      <c r="N6" s="14" t="s">
        <v>61</v>
      </c>
      <c r="O6" s="14" t="s">
        <v>62</v>
      </c>
      <c r="P6" s="16" t="s">
        <v>63</v>
      </c>
      <c r="Q6" s="13">
        <f t="shared" si="5"/>
        <v>13</v>
      </c>
      <c r="R6" s="13">
        <f t="shared" si="6"/>
        <v>7</v>
      </c>
      <c r="S6" s="14" t="s">
        <v>64</v>
      </c>
      <c r="T6" s="8" t="s">
        <v>35</v>
      </c>
      <c r="U6" s="14" t="s">
        <v>47</v>
      </c>
      <c r="V6" s="13" t="s">
        <v>48</v>
      </c>
      <c r="W6" s="9" t="s">
        <v>38</v>
      </c>
      <c r="X6" s="13" t="s">
        <v>38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ht="18.0" hidden="1" customHeight="1">
      <c r="A7" s="3">
        <v>5.0</v>
      </c>
      <c r="B7" s="4" t="s">
        <v>65</v>
      </c>
      <c r="C7" s="5" t="s">
        <v>66</v>
      </c>
      <c r="D7" s="6" t="s">
        <v>26</v>
      </c>
      <c r="E7" s="19">
        <v>29218.0</v>
      </c>
      <c r="F7" s="5">
        <f t="shared" si="1"/>
        <v>48</v>
      </c>
      <c r="G7" s="5">
        <f t="shared" si="2"/>
        <v>26</v>
      </c>
      <c r="H7" s="5">
        <f t="shared" si="3"/>
        <v>7</v>
      </c>
      <c r="I7" s="6" t="str">
        <f t="shared" si="4"/>
        <v>julio</v>
      </c>
      <c r="J7" s="6" t="s">
        <v>67</v>
      </c>
      <c r="K7" s="6" t="s">
        <v>68</v>
      </c>
      <c r="L7" s="6" t="s">
        <v>69</v>
      </c>
      <c r="M7" s="6">
        <v>9.59563376E8</v>
      </c>
      <c r="N7" s="6" t="s">
        <v>70</v>
      </c>
      <c r="O7" s="6" t="s">
        <v>32</v>
      </c>
      <c r="P7" s="7" t="s">
        <v>71</v>
      </c>
      <c r="Q7" s="5">
        <f t="shared" si="5"/>
        <v>1</v>
      </c>
      <c r="R7" s="5">
        <f t="shared" si="6"/>
        <v>9</v>
      </c>
      <c r="S7" s="6" t="s">
        <v>46</v>
      </c>
      <c r="T7" s="8" t="s">
        <v>35</v>
      </c>
      <c r="U7" s="6" t="s">
        <v>47</v>
      </c>
      <c r="V7" s="5" t="s">
        <v>48</v>
      </c>
      <c r="W7" s="9" t="s">
        <v>38</v>
      </c>
      <c r="X7" s="5" t="s">
        <v>38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8.0" hidden="1" customHeight="1">
      <c r="A8" s="11">
        <v>6.0</v>
      </c>
      <c r="B8" s="12" t="s">
        <v>72</v>
      </c>
      <c r="C8" s="13" t="s">
        <v>73</v>
      </c>
      <c r="D8" s="14" t="s">
        <v>26</v>
      </c>
      <c r="E8" s="16" t="s">
        <v>74</v>
      </c>
      <c r="F8" s="13">
        <f t="shared" si="1"/>
        <v>46</v>
      </c>
      <c r="G8" s="13">
        <f t="shared" si="2"/>
        <v>29</v>
      </c>
      <c r="H8" s="13">
        <f t="shared" si="3"/>
        <v>12</v>
      </c>
      <c r="I8" s="14" t="str">
        <f t="shared" si="4"/>
        <v>diciembre</v>
      </c>
      <c r="J8" s="14" t="s">
        <v>75</v>
      </c>
      <c r="K8" s="14" t="s">
        <v>68</v>
      </c>
      <c r="L8" s="14" t="s">
        <v>76</v>
      </c>
      <c r="M8" s="14">
        <v>8.1647356E7</v>
      </c>
      <c r="N8" s="14" t="s">
        <v>31</v>
      </c>
      <c r="O8" s="14" t="s">
        <v>32</v>
      </c>
      <c r="P8" s="16" t="s">
        <v>77</v>
      </c>
      <c r="Q8" s="13">
        <f t="shared" si="5"/>
        <v>3</v>
      </c>
      <c r="R8" s="13">
        <f t="shared" si="6"/>
        <v>11</v>
      </c>
      <c r="S8" s="14" t="s">
        <v>64</v>
      </c>
      <c r="T8" s="8" t="s">
        <v>35</v>
      </c>
      <c r="U8" s="14" t="s">
        <v>47</v>
      </c>
      <c r="V8" s="13" t="s">
        <v>48</v>
      </c>
      <c r="W8" s="9" t="s">
        <v>38</v>
      </c>
      <c r="X8" s="13" t="s">
        <v>38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ht="18.0" hidden="1" customHeight="1">
      <c r="A9" s="3">
        <v>7.0</v>
      </c>
      <c r="B9" s="4" t="s">
        <v>78</v>
      </c>
      <c r="C9" s="5" t="s">
        <v>79</v>
      </c>
      <c r="D9" s="6" t="s">
        <v>26</v>
      </c>
      <c r="E9" s="7" t="s">
        <v>80</v>
      </c>
      <c r="F9" s="5">
        <f t="shared" si="1"/>
        <v>34</v>
      </c>
      <c r="G9" s="5">
        <f t="shared" si="2"/>
        <v>22</v>
      </c>
      <c r="H9" s="5">
        <f t="shared" si="3"/>
        <v>6</v>
      </c>
      <c r="I9" s="6" t="str">
        <f t="shared" si="4"/>
        <v>junio</v>
      </c>
      <c r="J9" s="6" t="s">
        <v>81</v>
      </c>
      <c r="K9" s="6" t="s">
        <v>29</v>
      </c>
      <c r="L9" s="6" t="s">
        <v>82</v>
      </c>
      <c r="M9" s="6">
        <v>3.2453143E7</v>
      </c>
      <c r="N9" s="6" t="s">
        <v>83</v>
      </c>
      <c r="O9" s="6" t="s">
        <v>32</v>
      </c>
      <c r="P9" s="7" t="s">
        <v>84</v>
      </c>
      <c r="Q9" s="5">
        <f t="shared" si="5"/>
        <v>10</v>
      </c>
      <c r="R9" s="5">
        <f t="shared" si="6"/>
        <v>5</v>
      </c>
      <c r="S9" s="6" t="s">
        <v>46</v>
      </c>
      <c r="T9" s="8" t="s">
        <v>35</v>
      </c>
      <c r="U9" s="6" t="s">
        <v>36</v>
      </c>
      <c r="V9" s="5" t="s">
        <v>37</v>
      </c>
      <c r="W9" s="9" t="s">
        <v>38</v>
      </c>
      <c r="X9" s="5" t="s">
        <v>38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8.0" hidden="1" customHeight="1">
      <c r="A10" s="11">
        <v>8.0</v>
      </c>
      <c r="B10" s="12" t="s">
        <v>85</v>
      </c>
      <c r="C10" s="13" t="s">
        <v>86</v>
      </c>
      <c r="D10" s="14" t="s">
        <v>26</v>
      </c>
      <c r="E10" s="16" t="s">
        <v>87</v>
      </c>
      <c r="F10" s="13">
        <f t="shared" si="1"/>
        <v>49</v>
      </c>
      <c r="G10" s="13">
        <f t="shared" si="2"/>
        <v>22</v>
      </c>
      <c r="H10" s="13">
        <f t="shared" si="3"/>
        <v>10</v>
      </c>
      <c r="I10" s="14" t="str">
        <f t="shared" si="4"/>
        <v>octubre</v>
      </c>
      <c r="J10" s="14" t="s">
        <v>88</v>
      </c>
      <c r="K10" s="14" t="s">
        <v>89</v>
      </c>
      <c r="L10" s="14" t="s">
        <v>90</v>
      </c>
      <c r="M10" s="14">
        <v>8.2498775E7</v>
      </c>
      <c r="N10" s="14" t="s">
        <v>91</v>
      </c>
      <c r="O10" s="14" t="s">
        <v>92</v>
      </c>
      <c r="P10" s="16" t="s">
        <v>93</v>
      </c>
      <c r="Q10" s="13">
        <f t="shared" si="5"/>
        <v>11</v>
      </c>
      <c r="R10" s="13">
        <f t="shared" si="6"/>
        <v>1</v>
      </c>
      <c r="S10" s="14" t="s">
        <v>94</v>
      </c>
      <c r="T10" s="8" t="s">
        <v>35</v>
      </c>
      <c r="U10" s="14" t="s">
        <v>36</v>
      </c>
      <c r="V10" s="13" t="s">
        <v>37</v>
      </c>
      <c r="W10" s="17"/>
      <c r="X10" s="13" t="s">
        <v>38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ht="18.0" hidden="1" customHeight="1">
      <c r="A11" s="3">
        <v>9.0</v>
      </c>
      <c r="B11" s="4" t="s">
        <v>95</v>
      </c>
      <c r="C11" s="5" t="s">
        <v>96</v>
      </c>
      <c r="D11" s="6" t="s">
        <v>26</v>
      </c>
      <c r="E11" s="7" t="s">
        <v>97</v>
      </c>
      <c r="F11" s="5">
        <f t="shared" si="1"/>
        <v>68</v>
      </c>
      <c r="G11" s="5">
        <f t="shared" si="2"/>
        <v>6</v>
      </c>
      <c r="H11" s="5">
        <f t="shared" si="3"/>
        <v>5</v>
      </c>
      <c r="I11" s="6" t="str">
        <f t="shared" si="4"/>
        <v>mayo</v>
      </c>
      <c r="J11" s="6" t="s">
        <v>98</v>
      </c>
      <c r="K11" s="6" t="s">
        <v>89</v>
      </c>
      <c r="L11" s="6" t="s">
        <v>99</v>
      </c>
      <c r="M11" s="6">
        <v>6.8791573E7</v>
      </c>
      <c r="N11" s="6" t="s">
        <v>91</v>
      </c>
      <c r="O11" s="6" t="s">
        <v>100</v>
      </c>
      <c r="P11" s="7" t="s">
        <v>101</v>
      </c>
      <c r="Q11" s="5">
        <f t="shared" si="5"/>
        <v>38</v>
      </c>
      <c r="R11" s="5">
        <f t="shared" si="6"/>
        <v>7</v>
      </c>
      <c r="S11" s="6" t="s">
        <v>94</v>
      </c>
      <c r="T11" s="8" t="s">
        <v>35</v>
      </c>
      <c r="U11" s="6" t="s">
        <v>47</v>
      </c>
      <c r="V11" s="5" t="s">
        <v>48</v>
      </c>
      <c r="W11" s="10"/>
      <c r="X11" s="5" t="s">
        <v>38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8.0" hidden="1" customHeight="1">
      <c r="A12" s="11">
        <v>10.0</v>
      </c>
      <c r="B12" s="12" t="s">
        <v>102</v>
      </c>
      <c r="C12" s="13" t="s">
        <v>103</v>
      </c>
      <c r="D12" s="14" t="s">
        <v>26</v>
      </c>
      <c r="E12" s="16" t="s">
        <v>104</v>
      </c>
      <c r="F12" s="13">
        <f t="shared" si="1"/>
        <v>48</v>
      </c>
      <c r="G12" s="13">
        <f t="shared" si="2"/>
        <v>5</v>
      </c>
      <c r="H12" s="13">
        <f t="shared" si="3"/>
        <v>5</v>
      </c>
      <c r="I12" s="14" t="str">
        <f t="shared" si="4"/>
        <v>mayo</v>
      </c>
      <c r="J12" s="14" t="s">
        <v>105</v>
      </c>
      <c r="K12" s="14" t="s">
        <v>68</v>
      </c>
      <c r="L12" s="14" t="s">
        <v>106</v>
      </c>
      <c r="M12" s="14">
        <v>7.6428416E7</v>
      </c>
      <c r="N12" s="14" t="s">
        <v>91</v>
      </c>
      <c r="O12" s="14" t="s">
        <v>62</v>
      </c>
      <c r="P12" s="16" t="s">
        <v>107</v>
      </c>
      <c r="Q12" s="13">
        <f t="shared" si="5"/>
        <v>5</v>
      </c>
      <c r="R12" s="13">
        <f t="shared" si="6"/>
        <v>5</v>
      </c>
      <c r="S12" s="14" t="s">
        <v>94</v>
      </c>
      <c r="T12" s="8" t="s">
        <v>35</v>
      </c>
      <c r="U12" s="14" t="s">
        <v>47</v>
      </c>
      <c r="V12" s="13" t="s">
        <v>48</v>
      </c>
      <c r="W12" s="17"/>
      <c r="X12" s="13" t="s">
        <v>38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ht="18.0" hidden="1" customHeight="1">
      <c r="A13" s="3">
        <v>11.0</v>
      </c>
      <c r="B13" s="4" t="s">
        <v>108</v>
      </c>
      <c r="C13" s="5" t="s">
        <v>109</v>
      </c>
      <c r="D13" s="6" t="s">
        <v>26</v>
      </c>
      <c r="E13" s="7" t="s">
        <v>110</v>
      </c>
      <c r="F13" s="5">
        <f t="shared" si="1"/>
        <v>40</v>
      </c>
      <c r="G13" s="5">
        <f t="shared" si="2"/>
        <v>16</v>
      </c>
      <c r="H13" s="5">
        <f t="shared" si="3"/>
        <v>9</v>
      </c>
      <c r="I13" s="6" t="str">
        <f t="shared" si="4"/>
        <v>septiembre</v>
      </c>
      <c r="J13" s="6" t="s">
        <v>111</v>
      </c>
      <c r="K13" s="6" t="s">
        <v>89</v>
      </c>
      <c r="L13" s="6" t="s">
        <v>112</v>
      </c>
      <c r="M13" s="6">
        <v>9.49942768E8</v>
      </c>
      <c r="N13" s="6" t="s">
        <v>31</v>
      </c>
      <c r="O13" s="6" t="s">
        <v>32</v>
      </c>
      <c r="P13" s="7" t="s">
        <v>113</v>
      </c>
      <c r="Q13" s="5">
        <f t="shared" si="5"/>
        <v>5</v>
      </c>
      <c r="R13" s="5">
        <f t="shared" si="6"/>
        <v>4</v>
      </c>
      <c r="S13" s="6" t="s">
        <v>64</v>
      </c>
      <c r="T13" s="8" t="s">
        <v>35</v>
      </c>
      <c r="U13" s="6" t="s">
        <v>36</v>
      </c>
      <c r="V13" s="5" t="s">
        <v>37</v>
      </c>
      <c r="W13" s="9" t="s">
        <v>38</v>
      </c>
      <c r="X13" s="5" t="s">
        <v>38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8.0" hidden="1" customHeight="1">
      <c r="A14" s="11">
        <v>12.0</v>
      </c>
      <c r="B14" s="12" t="s">
        <v>114</v>
      </c>
      <c r="C14" s="13" t="s">
        <v>115</v>
      </c>
      <c r="D14" s="14" t="s">
        <v>26</v>
      </c>
      <c r="E14" s="16" t="s">
        <v>116</v>
      </c>
      <c r="F14" s="13">
        <f t="shared" si="1"/>
        <v>47</v>
      </c>
      <c r="G14" s="13">
        <f t="shared" si="2"/>
        <v>17</v>
      </c>
      <c r="H14" s="13">
        <f t="shared" si="3"/>
        <v>6</v>
      </c>
      <c r="I14" s="14" t="str">
        <f t="shared" si="4"/>
        <v>junio</v>
      </c>
      <c r="J14" s="14" t="s">
        <v>117</v>
      </c>
      <c r="K14" s="14" t="s">
        <v>29</v>
      </c>
      <c r="L14" s="14" t="s">
        <v>118</v>
      </c>
      <c r="M14" s="14">
        <v>9.57302785E8</v>
      </c>
      <c r="N14" s="14" t="s">
        <v>61</v>
      </c>
      <c r="O14" s="14" t="s">
        <v>32</v>
      </c>
      <c r="P14" s="16" t="s">
        <v>119</v>
      </c>
      <c r="Q14" s="13">
        <f t="shared" si="5"/>
        <v>2</v>
      </c>
      <c r="R14" s="13">
        <f t="shared" si="6"/>
        <v>1</v>
      </c>
      <c r="S14" s="14" t="s">
        <v>46</v>
      </c>
      <c r="T14" s="8" t="s">
        <v>35</v>
      </c>
      <c r="U14" s="14" t="s">
        <v>36</v>
      </c>
      <c r="V14" s="13" t="s">
        <v>37</v>
      </c>
      <c r="W14" s="9" t="s">
        <v>38</v>
      </c>
      <c r="X14" s="13" t="s">
        <v>38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ht="18.0" hidden="1" customHeight="1">
      <c r="A15" s="3">
        <v>13.0</v>
      </c>
      <c r="B15" s="4" t="s">
        <v>120</v>
      </c>
      <c r="C15" s="5" t="s">
        <v>121</v>
      </c>
      <c r="D15" s="6" t="s">
        <v>26</v>
      </c>
      <c r="E15" s="20">
        <v>37412.0</v>
      </c>
      <c r="F15" s="5">
        <f t="shared" si="1"/>
        <v>29</v>
      </c>
      <c r="G15" s="5">
        <f t="shared" si="2"/>
        <v>14</v>
      </c>
      <c r="H15" s="5">
        <f t="shared" si="3"/>
        <v>8</v>
      </c>
      <c r="I15" s="6" t="str">
        <f t="shared" si="4"/>
        <v>agosto</v>
      </c>
      <c r="J15" s="6" t="s">
        <v>122</v>
      </c>
      <c r="K15" s="6" t="s">
        <v>123</v>
      </c>
      <c r="L15" s="6" t="s">
        <v>124</v>
      </c>
      <c r="M15" s="6">
        <v>5.6962773756E10</v>
      </c>
      <c r="N15" s="6" t="s">
        <v>125</v>
      </c>
      <c r="O15" s="6" t="s">
        <v>32</v>
      </c>
      <c r="P15" s="7" t="s">
        <v>126</v>
      </c>
      <c r="Q15" s="5">
        <f t="shared" si="5"/>
        <v>1</v>
      </c>
      <c r="R15" s="5">
        <f t="shared" si="6"/>
        <v>6</v>
      </c>
      <c r="S15" s="6" t="s">
        <v>64</v>
      </c>
      <c r="T15" s="8" t="s">
        <v>35</v>
      </c>
      <c r="U15" s="6" t="s">
        <v>127</v>
      </c>
      <c r="V15" s="5" t="s">
        <v>37</v>
      </c>
      <c r="W15" s="9" t="s">
        <v>38</v>
      </c>
      <c r="X15" s="5" t="s">
        <v>38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8.0" hidden="1" customHeight="1">
      <c r="A16" s="11">
        <v>14.0</v>
      </c>
      <c r="B16" s="12" t="s">
        <v>128</v>
      </c>
      <c r="C16" s="13" t="s">
        <v>129</v>
      </c>
      <c r="D16" s="14" t="s">
        <v>26</v>
      </c>
      <c r="E16" s="18">
        <v>34309.0</v>
      </c>
      <c r="F16" s="13">
        <f t="shared" si="1"/>
        <v>23</v>
      </c>
      <c r="G16" s="13">
        <f t="shared" si="2"/>
        <v>5</v>
      </c>
      <c r="H16" s="13">
        <f t="shared" si="3"/>
        <v>6</v>
      </c>
      <c r="I16" s="14" t="str">
        <f t="shared" si="4"/>
        <v>junio</v>
      </c>
      <c r="J16" s="14" t="s">
        <v>130</v>
      </c>
      <c r="K16" s="14" t="s">
        <v>131</v>
      </c>
      <c r="L16" s="14" t="s">
        <v>132</v>
      </c>
      <c r="M16" s="14">
        <v>9.97666574E8</v>
      </c>
      <c r="N16" s="14" t="s">
        <v>133</v>
      </c>
      <c r="O16" s="14" t="s">
        <v>32</v>
      </c>
      <c r="P16" s="16" t="s">
        <v>63</v>
      </c>
      <c r="Q16" s="13">
        <f t="shared" si="5"/>
        <v>1</v>
      </c>
      <c r="R16" s="13">
        <f t="shared" si="6"/>
        <v>8</v>
      </c>
      <c r="S16" s="14" t="s">
        <v>64</v>
      </c>
      <c r="T16" s="8" t="s">
        <v>35</v>
      </c>
      <c r="U16" s="14" t="s">
        <v>47</v>
      </c>
      <c r="V16" s="13" t="s">
        <v>48</v>
      </c>
      <c r="W16" s="9" t="s">
        <v>38</v>
      </c>
      <c r="X16" s="13" t="s">
        <v>38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ht="18.0" hidden="1" customHeight="1">
      <c r="A17" s="3">
        <v>15.0</v>
      </c>
      <c r="B17" s="4" t="s">
        <v>134</v>
      </c>
      <c r="C17" s="5" t="s">
        <v>135</v>
      </c>
      <c r="D17" s="6" t="s">
        <v>26</v>
      </c>
      <c r="E17" s="7" t="s">
        <v>136</v>
      </c>
      <c r="F17" s="5">
        <f t="shared" si="1"/>
        <v>32</v>
      </c>
      <c r="G17" s="5">
        <f t="shared" si="2"/>
        <v>6</v>
      </c>
      <c r="H17" s="5">
        <f t="shared" si="3"/>
        <v>12</v>
      </c>
      <c r="I17" s="6" t="str">
        <f t="shared" si="4"/>
        <v>diciembre</v>
      </c>
      <c r="J17" s="6" t="s">
        <v>137</v>
      </c>
      <c r="K17" s="6" t="s">
        <v>68</v>
      </c>
      <c r="L17" s="6" t="s">
        <v>138</v>
      </c>
      <c r="M17" s="6">
        <v>4.5465286E7</v>
      </c>
      <c r="N17" s="6" t="s">
        <v>61</v>
      </c>
      <c r="O17" s="6" t="s">
        <v>32</v>
      </c>
      <c r="P17" s="7" t="s">
        <v>139</v>
      </c>
      <c r="Q17" s="5">
        <f t="shared" si="5"/>
        <v>1</v>
      </c>
      <c r="R17" s="5">
        <f t="shared" si="6"/>
        <v>9</v>
      </c>
      <c r="S17" s="6" t="s">
        <v>64</v>
      </c>
      <c r="T17" s="8" t="s">
        <v>35</v>
      </c>
      <c r="U17" s="6" t="s">
        <v>36</v>
      </c>
      <c r="V17" s="5" t="s">
        <v>37</v>
      </c>
      <c r="W17" s="9" t="s">
        <v>38</v>
      </c>
      <c r="X17" s="5" t="s">
        <v>38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8.0" hidden="1" customHeight="1">
      <c r="A18" s="11">
        <v>16.0</v>
      </c>
      <c r="B18" s="12" t="s">
        <v>140</v>
      </c>
      <c r="C18" s="13" t="s">
        <v>141</v>
      </c>
      <c r="D18" s="14" t="s">
        <v>26</v>
      </c>
      <c r="E18" s="16" t="s">
        <v>142</v>
      </c>
      <c r="F18" s="13">
        <f t="shared" si="1"/>
        <v>38</v>
      </c>
      <c r="G18" s="13">
        <f t="shared" si="2"/>
        <v>24</v>
      </c>
      <c r="H18" s="13">
        <f t="shared" si="3"/>
        <v>6</v>
      </c>
      <c r="I18" s="14" t="str">
        <f t="shared" si="4"/>
        <v>junio</v>
      </c>
      <c r="J18" s="14" t="s">
        <v>143</v>
      </c>
      <c r="K18" s="14" t="s">
        <v>43</v>
      </c>
      <c r="L18" s="14" t="s">
        <v>144</v>
      </c>
      <c r="M18" s="14">
        <v>8.6061268E7</v>
      </c>
      <c r="N18" s="14" t="s">
        <v>70</v>
      </c>
      <c r="O18" s="14" t="s">
        <v>32</v>
      </c>
      <c r="P18" s="16" t="s">
        <v>145</v>
      </c>
      <c r="Q18" s="13">
        <f t="shared" si="5"/>
        <v>6</v>
      </c>
      <c r="R18" s="13">
        <f t="shared" si="6"/>
        <v>11</v>
      </c>
      <c r="S18" s="14" t="s">
        <v>64</v>
      </c>
      <c r="T18" s="8" t="s">
        <v>35</v>
      </c>
      <c r="U18" s="14" t="s">
        <v>47</v>
      </c>
      <c r="V18" s="13" t="s">
        <v>48</v>
      </c>
      <c r="W18" s="9" t="s">
        <v>38</v>
      </c>
      <c r="X18" s="13" t="s">
        <v>38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ht="18.0" hidden="1" customHeight="1">
      <c r="A19" s="3">
        <v>17.0</v>
      </c>
      <c r="B19" s="4" t="s">
        <v>146</v>
      </c>
      <c r="C19" s="5" t="s">
        <v>147</v>
      </c>
      <c r="D19" s="6" t="s">
        <v>26</v>
      </c>
      <c r="E19" s="7" t="s">
        <v>148</v>
      </c>
      <c r="F19" s="5">
        <f t="shared" si="1"/>
        <v>31</v>
      </c>
      <c r="G19" s="5">
        <f t="shared" si="2"/>
        <v>16</v>
      </c>
      <c r="H19" s="5">
        <f t="shared" si="3"/>
        <v>1</v>
      </c>
      <c r="I19" s="6" t="str">
        <f t="shared" si="4"/>
        <v>enero</v>
      </c>
      <c r="J19" s="6" t="s">
        <v>149</v>
      </c>
      <c r="K19" s="6" t="s">
        <v>89</v>
      </c>
      <c r="L19" s="6" t="s">
        <v>150</v>
      </c>
      <c r="M19" s="6">
        <v>9.4335556E7</v>
      </c>
      <c r="N19" s="6" t="s">
        <v>91</v>
      </c>
      <c r="O19" s="6" t="s">
        <v>151</v>
      </c>
      <c r="P19" s="7" t="s">
        <v>152</v>
      </c>
      <c r="Q19" s="5">
        <f t="shared" si="5"/>
        <v>6</v>
      </c>
      <c r="R19" s="5">
        <f t="shared" si="6"/>
        <v>2</v>
      </c>
      <c r="S19" s="6" t="s">
        <v>153</v>
      </c>
      <c r="T19" s="8" t="s">
        <v>35</v>
      </c>
      <c r="U19" s="6" t="s">
        <v>36</v>
      </c>
      <c r="V19" s="5" t="s">
        <v>37</v>
      </c>
      <c r="W19" s="10"/>
      <c r="X19" s="5" t="s">
        <v>38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8.0" hidden="1" customHeight="1">
      <c r="A20" s="11">
        <v>18.0</v>
      </c>
      <c r="B20" s="12" t="s">
        <v>154</v>
      </c>
      <c r="C20" s="13" t="s">
        <v>155</v>
      </c>
      <c r="D20" s="14" t="s">
        <v>26</v>
      </c>
      <c r="E20" s="18">
        <v>34493.0</v>
      </c>
      <c r="F20" s="13">
        <f t="shared" si="1"/>
        <v>66</v>
      </c>
      <c r="G20" s="13">
        <f t="shared" si="2"/>
        <v>2</v>
      </c>
      <c r="H20" s="13">
        <f t="shared" si="3"/>
        <v>9</v>
      </c>
      <c r="I20" s="14" t="str">
        <f t="shared" si="4"/>
        <v>septiembre</v>
      </c>
      <c r="J20" s="14" t="s">
        <v>156</v>
      </c>
      <c r="K20" s="14" t="s">
        <v>53</v>
      </c>
      <c r="L20" s="14" t="s">
        <v>157</v>
      </c>
      <c r="M20" s="14">
        <v>5.6971990838E10</v>
      </c>
      <c r="N20" s="14" t="s">
        <v>31</v>
      </c>
      <c r="O20" s="14" t="s">
        <v>32</v>
      </c>
      <c r="P20" s="16" t="s">
        <v>158</v>
      </c>
      <c r="Q20" s="13">
        <f t="shared" si="5"/>
        <v>25</v>
      </c>
      <c r="R20" s="13">
        <f t="shared" si="6"/>
        <v>4</v>
      </c>
      <c r="S20" s="14" t="s">
        <v>159</v>
      </c>
      <c r="T20" s="8" t="s">
        <v>35</v>
      </c>
      <c r="U20" s="14" t="s">
        <v>127</v>
      </c>
      <c r="V20" s="13" t="s">
        <v>37</v>
      </c>
      <c r="W20" s="17"/>
      <c r="X20" s="13" t="s">
        <v>38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ht="18.0" hidden="1" customHeight="1">
      <c r="A21" s="3">
        <v>19.0</v>
      </c>
      <c r="B21" s="4" t="s">
        <v>160</v>
      </c>
      <c r="C21" s="5" t="s">
        <v>161</v>
      </c>
      <c r="D21" s="6" t="s">
        <v>26</v>
      </c>
      <c r="E21" s="7" t="s">
        <v>162</v>
      </c>
      <c r="F21" s="5">
        <f t="shared" si="1"/>
        <v>31</v>
      </c>
      <c r="G21" s="5">
        <f t="shared" si="2"/>
        <v>8</v>
      </c>
      <c r="H21" s="5">
        <f t="shared" si="3"/>
        <v>6</v>
      </c>
      <c r="I21" s="6" t="str">
        <f t="shared" si="4"/>
        <v>junio</v>
      </c>
      <c r="J21" s="6" t="s">
        <v>163</v>
      </c>
      <c r="K21" s="6" t="s">
        <v>89</v>
      </c>
      <c r="L21" s="6" t="s">
        <v>164</v>
      </c>
      <c r="M21" s="6">
        <v>9.62030777E8</v>
      </c>
      <c r="N21" s="6" t="s">
        <v>70</v>
      </c>
      <c r="O21" s="6" t="s">
        <v>32</v>
      </c>
      <c r="P21" s="7" t="s">
        <v>165</v>
      </c>
      <c r="Q21" s="5">
        <f t="shared" si="5"/>
        <v>1</v>
      </c>
      <c r="R21" s="5">
        <f t="shared" si="6"/>
        <v>7</v>
      </c>
      <c r="S21" s="6" t="s">
        <v>64</v>
      </c>
      <c r="T21" s="8" t="s">
        <v>35</v>
      </c>
      <c r="U21" s="6" t="s">
        <v>36</v>
      </c>
      <c r="V21" s="5" t="s">
        <v>37</v>
      </c>
      <c r="W21" s="9" t="s">
        <v>38</v>
      </c>
      <c r="X21" s="5" t="s">
        <v>38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8.0" hidden="1" customHeight="1">
      <c r="A22" s="11">
        <v>21.0</v>
      </c>
      <c r="B22" s="12" t="s">
        <v>166</v>
      </c>
      <c r="C22" s="13" t="s">
        <v>167</v>
      </c>
      <c r="D22" s="14" t="s">
        <v>26</v>
      </c>
      <c r="E22" s="16" t="s">
        <v>168</v>
      </c>
      <c r="F22" s="13">
        <f t="shared" si="1"/>
        <v>28</v>
      </c>
      <c r="G22" s="13">
        <f t="shared" si="2"/>
        <v>10</v>
      </c>
      <c r="H22" s="13">
        <f t="shared" si="3"/>
        <v>11</v>
      </c>
      <c r="I22" s="14" t="str">
        <f t="shared" si="4"/>
        <v>noviembre</v>
      </c>
      <c r="J22" s="14" t="s">
        <v>169</v>
      </c>
      <c r="K22" s="14" t="s">
        <v>131</v>
      </c>
      <c r="L22" s="14" t="s">
        <v>170</v>
      </c>
      <c r="M22" s="14">
        <v>8.3763737E7</v>
      </c>
      <c r="N22" s="14" t="s">
        <v>31</v>
      </c>
      <c r="O22" s="14" t="s">
        <v>32</v>
      </c>
      <c r="P22" s="16" t="s">
        <v>171</v>
      </c>
      <c r="Q22" s="13">
        <f t="shared" si="5"/>
        <v>4</v>
      </c>
      <c r="R22" s="13">
        <f t="shared" si="6"/>
        <v>5</v>
      </c>
      <c r="S22" s="14" t="s">
        <v>64</v>
      </c>
      <c r="T22" s="8" t="s">
        <v>35</v>
      </c>
      <c r="U22" s="14" t="s">
        <v>47</v>
      </c>
      <c r="V22" s="13" t="s">
        <v>48</v>
      </c>
      <c r="W22" s="9" t="s">
        <v>38</v>
      </c>
      <c r="X22" s="13" t="s">
        <v>38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ht="18.0" hidden="1" customHeight="1">
      <c r="A23" s="3">
        <v>22.0</v>
      </c>
      <c r="B23" s="4" t="s">
        <v>172</v>
      </c>
      <c r="C23" s="5" t="s">
        <v>173</v>
      </c>
      <c r="D23" s="6" t="s">
        <v>26</v>
      </c>
      <c r="E23" s="7" t="s">
        <v>174</v>
      </c>
      <c r="F23" s="5">
        <f t="shared" si="1"/>
        <v>35</v>
      </c>
      <c r="G23" s="5">
        <f t="shared" si="2"/>
        <v>13</v>
      </c>
      <c r="H23" s="5">
        <f t="shared" si="3"/>
        <v>10</v>
      </c>
      <c r="I23" s="6" t="str">
        <f t="shared" si="4"/>
        <v>octubre</v>
      </c>
      <c r="J23" s="6" t="s">
        <v>175</v>
      </c>
      <c r="K23" s="6" t="s">
        <v>43</v>
      </c>
      <c r="L23" s="6" t="s">
        <v>176</v>
      </c>
      <c r="M23" s="6">
        <v>9.8343258E7</v>
      </c>
      <c r="N23" s="6" t="s">
        <v>91</v>
      </c>
      <c r="O23" s="6" t="s">
        <v>100</v>
      </c>
      <c r="P23" s="7" t="s">
        <v>177</v>
      </c>
      <c r="Q23" s="5">
        <f t="shared" si="5"/>
        <v>8</v>
      </c>
      <c r="R23" s="5">
        <f t="shared" si="6"/>
        <v>8</v>
      </c>
      <c r="S23" s="6" t="s">
        <v>94</v>
      </c>
      <c r="T23" s="8" t="s">
        <v>35</v>
      </c>
      <c r="U23" s="6" t="s">
        <v>47</v>
      </c>
      <c r="V23" s="5" t="s">
        <v>48</v>
      </c>
      <c r="W23" s="10"/>
      <c r="X23" s="5" t="s">
        <v>38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8.0" hidden="1" customHeight="1">
      <c r="A24" s="11">
        <v>23.0</v>
      </c>
      <c r="B24" s="12" t="s">
        <v>178</v>
      </c>
      <c r="C24" s="13" t="s">
        <v>179</v>
      </c>
      <c r="D24" s="14" t="s">
        <v>26</v>
      </c>
      <c r="E24" s="16" t="s">
        <v>180</v>
      </c>
      <c r="F24" s="13">
        <f t="shared" si="1"/>
        <v>32</v>
      </c>
      <c r="G24" s="13">
        <f t="shared" si="2"/>
        <v>29</v>
      </c>
      <c r="H24" s="13">
        <f t="shared" si="3"/>
        <v>3</v>
      </c>
      <c r="I24" s="14" t="str">
        <f t="shared" si="4"/>
        <v>marzo</v>
      </c>
      <c r="J24" s="14" t="s">
        <v>181</v>
      </c>
      <c r="K24" s="14" t="s">
        <v>53</v>
      </c>
      <c r="L24" s="14" t="s">
        <v>182</v>
      </c>
      <c r="M24" s="14">
        <v>9.1568512E7</v>
      </c>
      <c r="N24" s="14" t="s">
        <v>83</v>
      </c>
      <c r="O24" s="14" t="s">
        <v>32</v>
      </c>
      <c r="P24" s="16" t="s">
        <v>183</v>
      </c>
      <c r="Q24" s="13">
        <f t="shared" si="5"/>
        <v>8</v>
      </c>
      <c r="R24" s="13">
        <f t="shared" si="6"/>
        <v>8</v>
      </c>
      <c r="S24" s="14" t="s">
        <v>46</v>
      </c>
      <c r="T24" s="8" t="s">
        <v>35</v>
      </c>
      <c r="U24" s="14" t="s">
        <v>36</v>
      </c>
      <c r="V24" s="13" t="s">
        <v>37</v>
      </c>
      <c r="W24" s="9" t="s">
        <v>38</v>
      </c>
      <c r="X24" s="13" t="s">
        <v>38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ht="18.0" hidden="1" customHeight="1">
      <c r="A25" s="3">
        <v>24.0</v>
      </c>
      <c r="B25" s="4" t="s">
        <v>184</v>
      </c>
      <c r="C25" s="5" t="s">
        <v>185</v>
      </c>
      <c r="D25" s="6" t="s">
        <v>26</v>
      </c>
      <c r="E25" s="7" t="s">
        <v>186</v>
      </c>
      <c r="F25" s="5">
        <f t="shared" si="1"/>
        <v>51</v>
      </c>
      <c r="G25" s="5">
        <f t="shared" si="2"/>
        <v>20</v>
      </c>
      <c r="H25" s="5">
        <f t="shared" si="3"/>
        <v>11</v>
      </c>
      <c r="I25" s="6" t="str">
        <f t="shared" si="4"/>
        <v>noviembre</v>
      </c>
      <c r="J25" s="6" t="s">
        <v>187</v>
      </c>
      <c r="K25" s="6" t="s">
        <v>89</v>
      </c>
      <c r="L25" s="6" t="s">
        <v>188</v>
      </c>
      <c r="M25" s="6">
        <v>9.86008295E8</v>
      </c>
      <c r="N25" s="6" t="s">
        <v>31</v>
      </c>
      <c r="O25" s="6" t="s">
        <v>32</v>
      </c>
      <c r="P25" s="7" t="s">
        <v>165</v>
      </c>
      <c r="Q25" s="5">
        <f t="shared" si="5"/>
        <v>12</v>
      </c>
      <c r="R25" s="5">
        <f t="shared" si="6"/>
        <v>3</v>
      </c>
      <c r="S25" s="6" t="s">
        <v>64</v>
      </c>
      <c r="T25" s="8" t="s">
        <v>35</v>
      </c>
      <c r="U25" s="6" t="s">
        <v>36</v>
      </c>
      <c r="V25" s="5" t="s">
        <v>37</v>
      </c>
      <c r="W25" s="9" t="s">
        <v>38</v>
      </c>
      <c r="X25" s="5" t="s">
        <v>38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8.0" hidden="1" customHeight="1">
      <c r="A26" s="11">
        <v>25.0</v>
      </c>
      <c r="B26" s="12" t="s">
        <v>189</v>
      </c>
      <c r="C26" s="13" t="s">
        <v>190</v>
      </c>
      <c r="D26" s="14" t="s">
        <v>26</v>
      </c>
      <c r="E26" s="16" t="s">
        <v>191</v>
      </c>
      <c r="F26" s="13">
        <f t="shared" si="1"/>
        <v>35</v>
      </c>
      <c r="G26" s="13">
        <f t="shared" si="2"/>
        <v>22</v>
      </c>
      <c r="H26" s="13">
        <f t="shared" si="3"/>
        <v>8</v>
      </c>
      <c r="I26" s="14" t="str">
        <f t="shared" si="4"/>
        <v>agosto</v>
      </c>
      <c r="J26" s="14" t="s">
        <v>192</v>
      </c>
      <c r="K26" s="14" t="s">
        <v>89</v>
      </c>
      <c r="L26" s="14" t="s">
        <v>193</v>
      </c>
      <c r="M26" s="14">
        <v>7.732817E7</v>
      </c>
      <c r="N26" s="14" t="s">
        <v>91</v>
      </c>
      <c r="O26" s="14" t="s">
        <v>32</v>
      </c>
      <c r="P26" s="16" t="s">
        <v>194</v>
      </c>
      <c r="Q26" s="13">
        <f t="shared" si="5"/>
        <v>4</v>
      </c>
      <c r="R26" s="13">
        <f t="shared" si="6"/>
        <v>5</v>
      </c>
      <c r="S26" s="14" t="s">
        <v>64</v>
      </c>
      <c r="T26" s="8" t="s">
        <v>35</v>
      </c>
      <c r="U26" s="14" t="s">
        <v>36</v>
      </c>
      <c r="V26" s="13" t="s">
        <v>37</v>
      </c>
      <c r="W26" s="9" t="s">
        <v>38</v>
      </c>
      <c r="X26" s="13" t="s">
        <v>38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ht="18.0" hidden="1" customHeight="1">
      <c r="A27" s="3">
        <v>26.0</v>
      </c>
      <c r="B27" s="4" t="s">
        <v>195</v>
      </c>
      <c r="C27" s="5" t="s">
        <v>196</v>
      </c>
      <c r="D27" s="6" t="s">
        <v>26</v>
      </c>
      <c r="E27" s="7" t="s">
        <v>197</v>
      </c>
      <c r="F27" s="5">
        <f t="shared" si="1"/>
        <v>69</v>
      </c>
      <c r="G27" s="5">
        <f t="shared" si="2"/>
        <v>10</v>
      </c>
      <c r="H27" s="5">
        <f t="shared" si="3"/>
        <v>12</v>
      </c>
      <c r="I27" s="6" t="str">
        <f t="shared" si="4"/>
        <v>diciembre</v>
      </c>
      <c r="J27" s="6" t="s">
        <v>198</v>
      </c>
      <c r="K27" s="6" t="s">
        <v>29</v>
      </c>
      <c r="L27" s="6" t="s">
        <v>199</v>
      </c>
      <c r="M27" s="6">
        <v>6.5174343E7</v>
      </c>
      <c r="N27" s="6" t="s">
        <v>70</v>
      </c>
      <c r="O27" s="6" t="s">
        <v>32</v>
      </c>
      <c r="P27" s="7" t="s">
        <v>101</v>
      </c>
      <c r="Q27" s="5">
        <f t="shared" si="5"/>
        <v>20</v>
      </c>
      <c r="R27" s="5">
        <f t="shared" si="6"/>
        <v>10</v>
      </c>
      <c r="S27" s="6" t="s">
        <v>34</v>
      </c>
      <c r="T27" s="8" t="s">
        <v>35</v>
      </c>
      <c r="U27" s="6" t="s">
        <v>47</v>
      </c>
      <c r="V27" s="5" t="s">
        <v>48</v>
      </c>
      <c r="W27" s="9" t="s">
        <v>38</v>
      </c>
      <c r="X27" s="5" t="s">
        <v>38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8.0" hidden="1" customHeight="1">
      <c r="A28" s="11">
        <v>27.0</v>
      </c>
      <c r="B28" s="12" t="s">
        <v>200</v>
      </c>
      <c r="C28" s="13" t="s">
        <v>201</v>
      </c>
      <c r="D28" s="14" t="s">
        <v>26</v>
      </c>
      <c r="E28" s="16" t="s">
        <v>202</v>
      </c>
      <c r="F28" s="13">
        <f t="shared" si="1"/>
        <v>28</v>
      </c>
      <c r="G28" s="13">
        <f t="shared" si="2"/>
        <v>4</v>
      </c>
      <c r="H28" s="13">
        <f t="shared" si="3"/>
        <v>8</v>
      </c>
      <c r="I28" s="14" t="str">
        <f t="shared" si="4"/>
        <v>agosto</v>
      </c>
      <c r="J28" s="14" t="s">
        <v>203</v>
      </c>
      <c r="K28" s="14" t="s">
        <v>131</v>
      </c>
      <c r="L28" s="21" t="s">
        <v>204</v>
      </c>
      <c r="M28" s="14">
        <v>5.8387425E7</v>
      </c>
      <c r="N28" s="14" t="s">
        <v>83</v>
      </c>
      <c r="O28" s="14" t="s">
        <v>32</v>
      </c>
      <c r="P28" s="16" t="s">
        <v>205</v>
      </c>
      <c r="Q28" s="13">
        <f t="shared" si="5"/>
        <v>5</v>
      </c>
      <c r="R28" s="13">
        <f t="shared" si="6"/>
        <v>5</v>
      </c>
      <c r="S28" s="14" t="s">
        <v>46</v>
      </c>
      <c r="T28" s="8" t="s">
        <v>35</v>
      </c>
      <c r="U28" s="14" t="s">
        <v>47</v>
      </c>
      <c r="V28" s="13" t="s">
        <v>48</v>
      </c>
      <c r="W28" s="9" t="s">
        <v>38</v>
      </c>
      <c r="X28" s="13" t="s">
        <v>38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ht="18.0" hidden="1" customHeight="1">
      <c r="A29" s="3">
        <v>28.0</v>
      </c>
      <c r="B29" s="4" t="s">
        <v>206</v>
      </c>
      <c r="C29" s="5" t="s">
        <v>207</v>
      </c>
      <c r="D29" s="6" t="s">
        <v>26</v>
      </c>
      <c r="E29" s="7" t="s">
        <v>208</v>
      </c>
      <c r="F29" s="5">
        <f t="shared" si="1"/>
        <v>34</v>
      </c>
      <c r="G29" s="5">
        <f t="shared" si="2"/>
        <v>15</v>
      </c>
      <c r="H29" s="5">
        <f t="shared" si="3"/>
        <v>8</v>
      </c>
      <c r="I29" s="6" t="str">
        <f t="shared" si="4"/>
        <v>agosto</v>
      </c>
      <c r="J29" s="6" t="s">
        <v>209</v>
      </c>
      <c r="K29" s="6" t="s">
        <v>210</v>
      </c>
      <c r="L29" s="6" t="s">
        <v>211</v>
      </c>
      <c r="M29" s="6">
        <v>3.0575551E7</v>
      </c>
      <c r="N29" s="6" t="s">
        <v>91</v>
      </c>
      <c r="O29" s="6" t="s">
        <v>32</v>
      </c>
      <c r="P29" s="7" t="s">
        <v>212</v>
      </c>
      <c r="Q29" s="5">
        <f t="shared" si="5"/>
        <v>5</v>
      </c>
      <c r="R29" s="5">
        <f t="shared" si="6"/>
        <v>4</v>
      </c>
      <c r="S29" s="6" t="s">
        <v>46</v>
      </c>
      <c r="T29" s="8" t="s">
        <v>35</v>
      </c>
      <c r="U29" s="6" t="s">
        <v>36</v>
      </c>
      <c r="V29" s="5" t="s">
        <v>37</v>
      </c>
      <c r="W29" s="9" t="s">
        <v>38</v>
      </c>
      <c r="X29" s="5" t="s">
        <v>38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8.0" hidden="1" customHeight="1">
      <c r="A30" s="11">
        <v>29.0</v>
      </c>
      <c r="B30" s="12" t="s">
        <v>213</v>
      </c>
      <c r="C30" s="13" t="s">
        <v>214</v>
      </c>
      <c r="D30" s="14" t="s">
        <v>41</v>
      </c>
      <c r="E30" s="16" t="s">
        <v>215</v>
      </c>
      <c r="F30" s="13">
        <f t="shared" si="1"/>
        <v>48</v>
      </c>
      <c r="G30" s="13">
        <f t="shared" si="2"/>
        <v>2</v>
      </c>
      <c r="H30" s="13">
        <f t="shared" si="3"/>
        <v>5</v>
      </c>
      <c r="I30" s="14" t="str">
        <f t="shared" si="4"/>
        <v>mayo</v>
      </c>
      <c r="J30" s="14" t="s">
        <v>216</v>
      </c>
      <c r="K30" s="14" t="s">
        <v>29</v>
      </c>
      <c r="L30" s="14" t="s">
        <v>217</v>
      </c>
      <c r="M30" s="14">
        <v>9.0032341E7</v>
      </c>
      <c r="N30" s="14" t="s">
        <v>70</v>
      </c>
      <c r="O30" s="14" t="s">
        <v>32</v>
      </c>
      <c r="P30" s="16" t="s">
        <v>218</v>
      </c>
      <c r="Q30" s="13">
        <f t="shared" si="5"/>
        <v>6</v>
      </c>
      <c r="R30" s="13">
        <f t="shared" si="6"/>
        <v>11</v>
      </c>
      <c r="S30" s="14" t="s">
        <v>46</v>
      </c>
      <c r="T30" s="8" t="s">
        <v>35</v>
      </c>
      <c r="U30" s="14" t="s">
        <v>47</v>
      </c>
      <c r="V30" s="13" t="s">
        <v>48</v>
      </c>
      <c r="W30" s="9" t="s">
        <v>38</v>
      </c>
      <c r="X30" s="13" t="s">
        <v>38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ht="18.0" hidden="1" customHeight="1">
      <c r="A31" s="3">
        <v>30.0</v>
      </c>
      <c r="B31" s="4" t="s">
        <v>219</v>
      </c>
      <c r="C31" s="5" t="s">
        <v>220</v>
      </c>
      <c r="D31" s="6" t="s">
        <v>26</v>
      </c>
      <c r="E31" s="7" t="s">
        <v>221</v>
      </c>
      <c r="F31" s="5">
        <f t="shared" si="1"/>
        <v>38</v>
      </c>
      <c r="G31" s="5">
        <f t="shared" si="2"/>
        <v>23</v>
      </c>
      <c r="H31" s="5">
        <f t="shared" si="3"/>
        <v>4</v>
      </c>
      <c r="I31" s="6" t="str">
        <f t="shared" si="4"/>
        <v>abril</v>
      </c>
      <c r="J31" s="6" t="s">
        <v>222</v>
      </c>
      <c r="K31" s="6" t="s">
        <v>68</v>
      </c>
      <c r="L31" s="6" t="s">
        <v>223</v>
      </c>
      <c r="M31" s="6">
        <v>9.90840739E8</v>
      </c>
      <c r="N31" s="6" t="s">
        <v>31</v>
      </c>
      <c r="O31" s="6" t="s">
        <v>32</v>
      </c>
      <c r="P31" s="7" t="s">
        <v>224</v>
      </c>
      <c r="Q31" s="5">
        <f t="shared" si="5"/>
        <v>5</v>
      </c>
      <c r="R31" s="5">
        <f t="shared" si="6"/>
        <v>7</v>
      </c>
      <c r="S31" s="6" t="s">
        <v>225</v>
      </c>
      <c r="T31" s="8" t="s">
        <v>35</v>
      </c>
      <c r="U31" s="6" t="s">
        <v>47</v>
      </c>
      <c r="V31" s="5" t="s">
        <v>48</v>
      </c>
      <c r="W31" s="9" t="s">
        <v>38</v>
      </c>
      <c r="X31" s="5" t="s">
        <v>38</v>
      </c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8.0" hidden="1" customHeight="1">
      <c r="A32" s="11">
        <v>31.0</v>
      </c>
      <c r="B32" s="12" t="s">
        <v>226</v>
      </c>
      <c r="C32" s="13" t="s">
        <v>227</v>
      </c>
      <c r="D32" s="14" t="s">
        <v>228</v>
      </c>
      <c r="E32" s="15">
        <v>36632.0</v>
      </c>
      <c r="F32" s="13">
        <f t="shared" si="1"/>
        <v>31</v>
      </c>
      <c r="G32" s="13">
        <f t="shared" si="2"/>
        <v>30</v>
      </c>
      <c r="H32" s="13">
        <f t="shared" si="3"/>
        <v>5</v>
      </c>
      <c r="I32" s="14" t="str">
        <f t="shared" si="4"/>
        <v>mayo</v>
      </c>
      <c r="J32" s="14" t="s">
        <v>229</v>
      </c>
      <c r="K32" s="14" t="s">
        <v>230</v>
      </c>
      <c r="L32" s="14" t="s">
        <v>231</v>
      </c>
      <c r="M32" s="14">
        <v>9.73132592E8</v>
      </c>
      <c r="N32" s="14" t="s">
        <v>232</v>
      </c>
      <c r="O32" s="14" t="s">
        <v>32</v>
      </c>
      <c r="P32" s="18">
        <v>44487.0</v>
      </c>
      <c r="Q32" s="13">
        <f t="shared" si="5"/>
        <v>4</v>
      </c>
      <c r="R32" s="13">
        <f t="shared" si="6"/>
        <v>5</v>
      </c>
      <c r="S32" s="14" t="s">
        <v>64</v>
      </c>
      <c r="T32" s="8" t="s">
        <v>35</v>
      </c>
      <c r="U32" s="14" t="s">
        <v>36</v>
      </c>
      <c r="V32" s="13" t="s">
        <v>37</v>
      </c>
      <c r="W32" s="9" t="s">
        <v>38</v>
      </c>
      <c r="X32" s="13" t="s">
        <v>38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ht="18.0" hidden="1" customHeight="1">
      <c r="A33" s="3">
        <v>32.0</v>
      </c>
      <c r="B33" s="4" t="s">
        <v>233</v>
      </c>
      <c r="C33" s="5" t="s">
        <v>234</v>
      </c>
      <c r="D33" s="6" t="s">
        <v>26</v>
      </c>
      <c r="E33" s="7" t="s">
        <v>235</v>
      </c>
      <c r="F33" s="5">
        <f t="shared" si="1"/>
        <v>26</v>
      </c>
      <c r="G33" s="5">
        <f t="shared" si="2"/>
        <v>16</v>
      </c>
      <c r="H33" s="5">
        <f t="shared" si="3"/>
        <v>4</v>
      </c>
      <c r="I33" s="6" t="str">
        <f t="shared" si="4"/>
        <v>abril</v>
      </c>
      <c r="J33" s="6" t="s">
        <v>236</v>
      </c>
      <c r="K33" s="6" t="s">
        <v>29</v>
      </c>
      <c r="L33" s="6" t="s">
        <v>237</v>
      </c>
      <c r="M33" s="6">
        <v>9.9940518E7</v>
      </c>
      <c r="N33" s="6" t="s">
        <v>31</v>
      </c>
      <c r="O33" s="6" t="s">
        <v>62</v>
      </c>
      <c r="P33" s="7" t="s">
        <v>77</v>
      </c>
      <c r="Q33" s="5">
        <f t="shared" si="5"/>
        <v>4</v>
      </c>
      <c r="R33" s="5">
        <f t="shared" si="6"/>
        <v>7</v>
      </c>
      <c r="S33" s="6" t="s">
        <v>238</v>
      </c>
      <c r="T33" s="8" t="s">
        <v>35</v>
      </c>
      <c r="U33" s="6" t="s">
        <v>47</v>
      </c>
      <c r="V33" s="5" t="s">
        <v>48</v>
      </c>
      <c r="W33" s="10"/>
      <c r="X33" s="5" t="s">
        <v>38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8.0" hidden="1" customHeight="1">
      <c r="A34" s="11">
        <v>33.0</v>
      </c>
      <c r="B34" s="12" t="s">
        <v>239</v>
      </c>
      <c r="C34" s="13" t="s">
        <v>240</v>
      </c>
      <c r="D34" s="14" t="s">
        <v>26</v>
      </c>
      <c r="E34" s="16" t="s">
        <v>241</v>
      </c>
      <c r="F34" s="13">
        <f t="shared" si="1"/>
        <v>38</v>
      </c>
      <c r="G34" s="13">
        <f t="shared" si="2"/>
        <v>24</v>
      </c>
      <c r="H34" s="13">
        <f t="shared" si="3"/>
        <v>8</v>
      </c>
      <c r="I34" s="14" t="str">
        <f t="shared" si="4"/>
        <v>agosto</v>
      </c>
      <c r="J34" s="14" t="s">
        <v>242</v>
      </c>
      <c r="K34" s="14" t="s">
        <v>29</v>
      </c>
      <c r="L34" s="14" t="s">
        <v>243</v>
      </c>
      <c r="M34" s="14">
        <v>9.82602846E8</v>
      </c>
      <c r="N34" s="14" t="s">
        <v>31</v>
      </c>
      <c r="O34" s="14" t="s">
        <v>32</v>
      </c>
      <c r="P34" s="16" t="s">
        <v>244</v>
      </c>
      <c r="Q34" s="13">
        <f t="shared" si="5"/>
        <v>10</v>
      </c>
      <c r="R34" s="13">
        <f t="shared" si="6"/>
        <v>5</v>
      </c>
      <c r="S34" s="14" t="s">
        <v>94</v>
      </c>
      <c r="T34" s="8" t="s">
        <v>35</v>
      </c>
      <c r="U34" s="14" t="s">
        <v>36</v>
      </c>
      <c r="V34" s="13" t="s">
        <v>37</v>
      </c>
      <c r="W34" s="17"/>
      <c r="X34" s="13" t="s">
        <v>38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ht="18.0" customHeight="1">
      <c r="A35" s="3">
        <v>34.0</v>
      </c>
      <c r="B35" s="4" t="s">
        <v>245</v>
      </c>
      <c r="C35" s="5" t="s">
        <v>246</v>
      </c>
      <c r="D35" s="6" t="s">
        <v>26</v>
      </c>
      <c r="E35" s="20">
        <v>29872.0</v>
      </c>
      <c r="F35" s="5">
        <f t="shared" si="1"/>
        <v>29</v>
      </c>
      <c r="G35" s="5">
        <f t="shared" si="2"/>
        <v>24</v>
      </c>
      <c r="H35" s="5">
        <f t="shared" si="3"/>
        <v>9</v>
      </c>
      <c r="I35" s="6" t="str">
        <f t="shared" si="4"/>
        <v>septiembre</v>
      </c>
      <c r="J35" s="6" t="s">
        <v>247</v>
      </c>
      <c r="K35" s="6" t="s">
        <v>53</v>
      </c>
      <c r="L35" s="6" t="s">
        <v>248</v>
      </c>
      <c r="M35" s="6">
        <v>5.6976731935E10</v>
      </c>
      <c r="N35" s="6" t="s">
        <v>249</v>
      </c>
      <c r="O35" s="6" t="s">
        <v>32</v>
      </c>
      <c r="P35" s="7" t="s">
        <v>126</v>
      </c>
      <c r="Q35" s="5">
        <f t="shared" si="5"/>
        <v>4</v>
      </c>
      <c r="R35" s="5">
        <f t="shared" si="6"/>
        <v>7</v>
      </c>
      <c r="S35" s="6" t="s">
        <v>250</v>
      </c>
      <c r="T35" s="5">
        <v>2.0</v>
      </c>
      <c r="U35" s="6" t="s">
        <v>251</v>
      </c>
      <c r="V35" s="5" t="s">
        <v>48</v>
      </c>
      <c r="W35" s="10"/>
      <c r="X35" s="5" t="s">
        <v>38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8.0" hidden="1" customHeight="1">
      <c r="A36" s="11">
        <v>35.0</v>
      </c>
      <c r="B36" s="12" t="s">
        <v>252</v>
      </c>
      <c r="C36" s="13" t="s">
        <v>253</v>
      </c>
      <c r="D36" s="14" t="s">
        <v>26</v>
      </c>
      <c r="E36" s="16" t="s">
        <v>254</v>
      </c>
      <c r="F36" s="13">
        <f t="shared" si="1"/>
        <v>44</v>
      </c>
      <c r="G36" s="13">
        <f t="shared" si="2"/>
        <v>13</v>
      </c>
      <c r="H36" s="13">
        <f t="shared" si="3"/>
        <v>10</v>
      </c>
      <c r="I36" s="14" t="str">
        <f t="shared" si="4"/>
        <v>octubre</v>
      </c>
      <c r="J36" s="14" t="s">
        <v>255</v>
      </c>
      <c r="K36" s="14" t="s">
        <v>256</v>
      </c>
      <c r="L36" s="14" t="s">
        <v>257</v>
      </c>
      <c r="M36" s="14">
        <v>8.1600316E7</v>
      </c>
      <c r="N36" s="14" t="s">
        <v>249</v>
      </c>
      <c r="O36" s="14" t="s">
        <v>32</v>
      </c>
      <c r="P36" s="16" t="s">
        <v>258</v>
      </c>
      <c r="Q36" s="22">
        <f t="shared" si="5"/>
        <v>1</v>
      </c>
      <c r="R36" s="13">
        <f t="shared" si="6"/>
        <v>8</v>
      </c>
      <c r="S36" s="14" t="s">
        <v>250</v>
      </c>
      <c r="T36" s="13">
        <v>2.0</v>
      </c>
      <c r="U36" s="14" t="s">
        <v>47</v>
      </c>
      <c r="V36" s="13" t="s">
        <v>48</v>
      </c>
      <c r="W36" s="17"/>
      <c r="X36" s="13" t="s">
        <v>38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ht="18.0" hidden="1" customHeight="1">
      <c r="A37" s="3">
        <v>36.0</v>
      </c>
      <c r="B37" s="4" t="s">
        <v>259</v>
      </c>
      <c r="C37" s="5" t="s">
        <v>260</v>
      </c>
      <c r="D37" s="6" t="s">
        <v>26</v>
      </c>
      <c r="E37" s="7" t="s">
        <v>261</v>
      </c>
      <c r="F37" s="5">
        <f t="shared" si="1"/>
        <v>50</v>
      </c>
      <c r="G37" s="5">
        <f t="shared" si="2"/>
        <v>6</v>
      </c>
      <c r="H37" s="5">
        <f t="shared" si="3"/>
        <v>2</v>
      </c>
      <c r="I37" s="6" t="str">
        <f t="shared" si="4"/>
        <v>febrero</v>
      </c>
      <c r="J37" s="6" t="s">
        <v>262</v>
      </c>
      <c r="K37" s="6" t="s">
        <v>68</v>
      </c>
      <c r="L37" s="23" t="s">
        <v>263</v>
      </c>
      <c r="M37" s="6">
        <v>8.8803235E7</v>
      </c>
      <c r="N37" s="6" t="s">
        <v>249</v>
      </c>
      <c r="O37" s="6" t="s">
        <v>32</v>
      </c>
      <c r="P37" s="7" t="s">
        <v>264</v>
      </c>
      <c r="Q37" s="5">
        <f t="shared" si="5"/>
        <v>4</v>
      </c>
      <c r="R37" s="5">
        <f t="shared" si="6"/>
        <v>8</v>
      </c>
      <c r="S37" s="6" t="s">
        <v>265</v>
      </c>
      <c r="T37" s="8" t="s">
        <v>35</v>
      </c>
      <c r="U37" s="6" t="s">
        <v>36</v>
      </c>
      <c r="V37" s="5" t="s">
        <v>37</v>
      </c>
      <c r="W37" s="9" t="s">
        <v>38</v>
      </c>
      <c r="X37" s="5" t="s">
        <v>38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8.0" hidden="1" customHeight="1">
      <c r="A38" s="11">
        <v>37.0</v>
      </c>
      <c r="B38" s="12" t="s">
        <v>266</v>
      </c>
      <c r="C38" s="13" t="s">
        <v>267</v>
      </c>
      <c r="D38" s="14" t="s">
        <v>26</v>
      </c>
      <c r="E38" s="16" t="s">
        <v>268</v>
      </c>
      <c r="F38" s="13">
        <f t="shared" si="1"/>
        <v>57</v>
      </c>
      <c r="G38" s="13">
        <f t="shared" si="2"/>
        <v>11</v>
      </c>
      <c r="H38" s="13">
        <f t="shared" si="3"/>
        <v>2</v>
      </c>
      <c r="I38" s="14" t="str">
        <f t="shared" si="4"/>
        <v>febrero</v>
      </c>
      <c r="J38" s="14" t="s">
        <v>269</v>
      </c>
      <c r="K38" s="14" t="s">
        <v>256</v>
      </c>
      <c r="L38" s="14" t="s">
        <v>270</v>
      </c>
      <c r="M38" s="14">
        <v>5.3722876E7</v>
      </c>
      <c r="N38" s="14" t="s">
        <v>91</v>
      </c>
      <c r="O38" s="14" t="s">
        <v>32</v>
      </c>
      <c r="P38" s="16" t="s">
        <v>271</v>
      </c>
      <c r="Q38" s="13">
        <f t="shared" si="5"/>
        <v>15</v>
      </c>
      <c r="R38" s="13">
        <f t="shared" si="6"/>
        <v>7</v>
      </c>
      <c r="S38" s="14" t="s">
        <v>46</v>
      </c>
      <c r="T38" s="8" t="s">
        <v>35</v>
      </c>
      <c r="U38" s="14" t="s">
        <v>47</v>
      </c>
      <c r="V38" s="13" t="s">
        <v>48</v>
      </c>
      <c r="W38" s="9" t="s">
        <v>38</v>
      </c>
      <c r="X38" s="13" t="s">
        <v>38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ht="18.0" hidden="1" customHeight="1">
      <c r="A39" s="3">
        <v>38.0</v>
      </c>
      <c r="B39" s="4" t="s">
        <v>272</v>
      </c>
      <c r="C39" s="5" t="s">
        <v>273</v>
      </c>
      <c r="D39" s="6" t="s">
        <v>26</v>
      </c>
      <c r="E39" s="7" t="s">
        <v>274</v>
      </c>
      <c r="F39" s="5">
        <f t="shared" si="1"/>
        <v>50</v>
      </c>
      <c r="G39" s="5">
        <f t="shared" si="2"/>
        <v>21</v>
      </c>
      <c r="H39" s="5">
        <f t="shared" si="3"/>
        <v>5</v>
      </c>
      <c r="I39" s="6" t="str">
        <f t="shared" si="4"/>
        <v>mayo</v>
      </c>
      <c r="J39" s="6" t="s">
        <v>275</v>
      </c>
      <c r="K39" s="6" t="s">
        <v>53</v>
      </c>
      <c r="L39" s="6" t="s">
        <v>276</v>
      </c>
      <c r="M39" s="6">
        <v>9.4353204E7</v>
      </c>
      <c r="N39" s="6" t="s">
        <v>249</v>
      </c>
      <c r="O39" s="6" t="s">
        <v>100</v>
      </c>
      <c r="P39" s="7" t="s">
        <v>277</v>
      </c>
      <c r="Q39" s="5">
        <f t="shared" si="5"/>
        <v>5</v>
      </c>
      <c r="R39" s="5">
        <f t="shared" si="6"/>
        <v>5</v>
      </c>
      <c r="S39" s="6" t="s">
        <v>94</v>
      </c>
      <c r="T39" s="8" t="s">
        <v>35</v>
      </c>
      <c r="U39" s="6" t="s">
        <v>36</v>
      </c>
      <c r="V39" s="5" t="s">
        <v>37</v>
      </c>
      <c r="W39" s="10"/>
      <c r="X39" s="5" t="s">
        <v>38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8.0" hidden="1" customHeight="1">
      <c r="A40" s="11">
        <v>39.0</v>
      </c>
      <c r="B40" s="12" t="s">
        <v>278</v>
      </c>
      <c r="C40" s="13" t="s">
        <v>279</v>
      </c>
      <c r="D40" s="14" t="s">
        <v>26</v>
      </c>
      <c r="E40" s="16" t="s">
        <v>280</v>
      </c>
      <c r="F40" s="13">
        <f t="shared" si="1"/>
        <v>65</v>
      </c>
      <c r="G40" s="13">
        <f t="shared" si="2"/>
        <v>24</v>
      </c>
      <c r="H40" s="13">
        <f t="shared" si="3"/>
        <v>5</v>
      </c>
      <c r="I40" s="14" t="str">
        <f t="shared" si="4"/>
        <v>mayo</v>
      </c>
      <c r="J40" s="14" t="s">
        <v>281</v>
      </c>
      <c r="K40" s="14" t="s">
        <v>29</v>
      </c>
      <c r="L40" s="14" t="s">
        <v>282</v>
      </c>
      <c r="M40" s="14">
        <v>9.6349832E8</v>
      </c>
      <c r="N40" s="14" t="s">
        <v>31</v>
      </c>
      <c r="O40" s="14" t="s">
        <v>32</v>
      </c>
      <c r="P40" s="16" t="s">
        <v>283</v>
      </c>
      <c r="Q40" s="13">
        <f t="shared" si="5"/>
        <v>21</v>
      </c>
      <c r="R40" s="13">
        <f t="shared" si="6"/>
        <v>4</v>
      </c>
      <c r="S40" s="14" t="s">
        <v>284</v>
      </c>
      <c r="T40" s="8" t="s">
        <v>35</v>
      </c>
      <c r="U40" s="14" t="s">
        <v>47</v>
      </c>
      <c r="V40" s="13" t="s">
        <v>48</v>
      </c>
      <c r="W40" s="24" t="s">
        <v>285</v>
      </c>
      <c r="X40" s="13" t="s">
        <v>38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ht="18.0" hidden="1" customHeight="1">
      <c r="A41" s="3">
        <v>40.0</v>
      </c>
      <c r="B41" s="4" t="s">
        <v>286</v>
      </c>
      <c r="C41" s="5" t="s">
        <v>287</v>
      </c>
      <c r="D41" s="6" t="s">
        <v>26</v>
      </c>
      <c r="E41" s="7" t="s">
        <v>288</v>
      </c>
      <c r="F41" s="5">
        <f t="shared" si="1"/>
        <v>29</v>
      </c>
      <c r="G41" s="5">
        <f t="shared" si="2"/>
        <v>10</v>
      </c>
      <c r="H41" s="5">
        <f t="shared" si="3"/>
        <v>8</v>
      </c>
      <c r="I41" s="6" t="str">
        <f t="shared" si="4"/>
        <v>agosto</v>
      </c>
      <c r="J41" s="6" t="s">
        <v>289</v>
      </c>
      <c r="K41" s="6" t="s">
        <v>89</v>
      </c>
      <c r="L41" s="6" t="s">
        <v>290</v>
      </c>
      <c r="M41" s="6">
        <v>9.4761635E7</v>
      </c>
      <c r="N41" s="6" t="s">
        <v>61</v>
      </c>
      <c r="O41" s="6" t="s">
        <v>32</v>
      </c>
      <c r="P41" s="7" t="s">
        <v>291</v>
      </c>
      <c r="Q41" s="5">
        <f t="shared" si="5"/>
        <v>5</v>
      </c>
      <c r="R41" s="5">
        <f t="shared" si="6"/>
        <v>1</v>
      </c>
      <c r="S41" s="6" t="s">
        <v>292</v>
      </c>
      <c r="T41" s="8" t="s">
        <v>35</v>
      </c>
      <c r="U41" s="6" t="s">
        <v>47</v>
      </c>
      <c r="V41" s="5" t="s">
        <v>48</v>
      </c>
      <c r="W41" s="10"/>
      <c r="X41" s="5" t="s">
        <v>38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8.0" hidden="1" customHeight="1">
      <c r="A42" s="11">
        <v>41.0</v>
      </c>
      <c r="B42" s="12" t="s">
        <v>293</v>
      </c>
      <c r="C42" s="13" t="s">
        <v>294</v>
      </c>
      <c r="D42" s="14" t="s">
        <v>26</v>
      </c>
      <c r="E42" s="16" t="s">
        <v>295</v>
      </c>
      <c r="F42" s="13">
        <f t="shared" si="1"/>
        <v>52</v>
      </c>
      <c r="G42" s="13">
        <f t="shared" si="2"/>
        <v>12</v>
      </c>
      <c r="H42" s="13">
        <f t="shared" si="3"/>
        <v>6</v>
      </c>
      <c r="I42" s="14" t="str">
        <f t="shared" si="4"/>
        <v>junio</v>
      </c>
      <c r="J42" s="14" t="s">
        <v>296</v>
      </c>
      <c r="K42" s="14" t="s">
        <v>297</v>
      </c>
      <c r="L42" s="14" t="s">
        <v>298</v>
      </c>
      <c r="M42" s="14">
        <v>8.8283926E7</v>
      </c>
      <c r="N42" s="14" t="s">
        <v>70</v>
      </c>
      <c r="O42" s="14" t="s">
        <v>32</v>
      </c>
      <c r="P42" s="16" t="s">
        <v>299</v>
      </c>
      <c r="Q42" s="13">
        <f t="shared" si="5"/>
        <v>5</v>
      </c>
      <c r="R42" s="13">
        <f t="shared" si="6"/>
        <v>3</v>
      </c>
      <c r="S42" s="14" t="s">
        <v>250</v>
      </c>
      <c r="T42" s="13">
        <v>2.0</v>
      </c>
      <c r="U42" s="14" t="s">
        <v>47</v>
      </c>
      <c r="V42" s="13" t="s">
        <v>48</v>
      </c>
      <c r="W42" s="17"/>
      <c r="X42" s="13" t="s">
        <v>38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ht="18.0" hidden="1" customHeight="1">
      <c r="A43" s="3">
        <v>42.0</v>
      </c>
      <c r="B43" s="4" t="s">
        <v>300</v>
      </c>
      <c r="C43" s="5" t="s">
        <v>301</v>
      </c>
      <c r="D43" s="6" t="s">
        <v>26</v>
      </c>
      <c r="E43" s="7" t="s">
        <v>302</v>
      </c>
      <c r="F43" s="5">
        <f t="shared" si="1"/>
        <v>33</v>
      </c>
      <c r="G43" s="5">
        <f t="shared" si="2"/>
        <v>8</v>
      </c>
      <c r="H43" s="5">
        <f t="shared" si="3"/>
        <v>6</v>
      </c>
      <c r="I43" s="6" t="str">
        <f t="shared" si="4"/>
        <v>junio</v>
      </c>
      <c r="J43" s="6" t="s">
        <v>303</v>
      </c>
      <c r="K43" s="6" t="s">
        <v>29</v>
      </c>
      <c r="L43" s="6" t="s">
        <v>304</v>
      </c>
      <c r="M43" s="6">
        <v>3.4348005E7</v>
      </c>
      <c r="N43" s="6" t="s">
        <v>91</v>
      </c>
      <c r="O43" s="6" t="s">
        <v>32</v>
      </c>
      <c r="P43" s="7" t="s">
        <v>305</v>
      </c>
      <c r="Q43" s="5">
        <f t="shared" si="5"/>
        <v>6</v>
      </c>
      <c r="R43" s="5">
        <f t="shared" si="6"/>
        <v>8</v>
      </c>
      <c r="S43" s="6" t="s">
        <v>46</v>
      </c>
      <c r="T43" s="8" t="s">
        <v>35</v>
      </c>
      <c r="U43" s="6" t="s">
        <v>47</v>
      </c>
      <c r="V43" s="5" t="s">
        <v>48</v>
      </c>
      <c r="W43" s="9" t="s">
        <v>38</v>
      </c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8.0" hidden="1" customHeight="1">
      <c r="A44" s="11">
        <v>43.0</v>
      </c>
      <c r="B44" s="12" t="s">
        <v>306</v>
      </c>
      <c r="C44" s="13" t="s">
        <v>307</v>
      </c>
      <c r="D44" s="14" t="s">
        <v>26</v>
      </c>
      <c r="E44" s="16" t="s">
        <v>308</v>
      </c>
      <c r="F44" s="13">
        <f t="shared" si="1"/>
        <v>48</v>
      </c>
      <c r="G44" s="13">
        <f t="shared" si="2"/>
        <v>18</v>
      </c>
      <c r="H44" s="13">
        <f t="shared" si="3"/>
        <v>6</v>
      </c>
      <c r="I44" s="14" t="str">
        <f t="shared" si="4"/>
        <v>junio</v>
      </c>
      <c r="J44" s="14" t="s">
        <v>309</v>
      </c>
      <c r="K44" s="14" t="s">
        <v>68</v>
      </c>
      <c r="L44" s="14" t="s">
        <v>310</v>
      </c>
      <c r="M44" s="14">
        <v>6.3540042E7</v>
      </c>
      <c r="N44" s="14" t="s">
        <v>249</v>
      </c>
      <c r="O44" s="14" t="s">
        <v>100</v>
      </c>
      <c r="P44" s="16" t="s">
        <v>311</v>
      </c>
      <c r="Q44" s="13">
        <f t="shared" si="5"/>
        <v>10</v>
      </c>
      <c r="R44" s="13">
        <f t="shared" si="6"/>
        <v>7</v>
      </c>
      <c r="S44" s="14" t="s">
        <v>94</v>
      </c>
      <c r="T44" s="8" t="s">
        <v>35</v>
      </c>
      <c r="U44" s="14" t="s">
        <v>36</v>
      </c>
      <c r="V44" s="13" t="s">
        <v>37</v>
      </c>
      <c r="W44" s="17"/>
      <c r="X44" s="13" t="s">
        <v>38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ht="18.0" hidden="1" customHeight="1">
      <c r="A45" s="3">
        <v>44.0</v>
      </c>
      <c r="B45" s="4" t="s">
        <v>312</v>
      </c>
      <c r="C45" s="5" t="s">
        <v>313</v>
      </c>
      <c r="D45" s="6" t="s">
        <v>26</v>
      </c>
      <c r="E45" s="7" t="s">
        <v>314</v>
      </c>
      <c r="F45" s="5">
        <f t="shared" si="1"/>
        <v>45</v>
      </c>
      <c r="G45" s="5">
        <f t="shared" si="2"/>
        <v>20</v>
      </c>
      <c r="H45" s="5">
        <f t="shared" si="3"/>
        <v>7</v>
      </c>
      <c r="I45" s="6" t="str">
        <f t="shared" si="4"/>
        <v>julio</v>
      </c>
      <c r="J45" s="6" t="s">
        <v>315</v>
      </c>
      <c r="K45" s="6" t="s">
        <v>43</v>
      </c>
      <c r="L45" s="6" t="s">
        <v>316</v>
      </c>
      <c r="M45" s="6">
        <v>8.2877792E7</v>
      </c>
      <c r="N45" s="6" t="s">
        <v>61</v>
      </c>
      <c r="O45" s="6" t="s">
        <v>32</v>
      </c>
      <c r="P45" s="7" t="s">
        <v>317</v>
      </c>
      <c r="Q45" s="5">
        <f t="shared" si="5"/>
        <v>17</v>
      </c>
      <c r="R45" s="5">
        <f t="shared" si="6"/>
        <v>8</v>
      </c>
      <c r="S45" s="6" t="s">
        <v>265</v>
      </c>
      <c r="T45" s="8" t="s">
        <v>35</v>
      </c>
      <c r="U45" s="6" t="s">
        <v>36</v>
      </c>
      <c r="V45" s="5" t="s">
        <v>37</v>
      </c>
      <c r="W45" s="9" t="s">
        <v>38</v>
      </c>
      <c r="X45" s="5" t="s">
        <v>38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8.0" hidden="1" customHeight="1">
      <c r="A46" s="11">
        <v>45.0</v>
      </c>
      <c r="B46" s="12" t="s">
        <v>318</v>
      </c>
      <c r="C46" s="13" t="s">
        <v>319</v>
      </c>
      <c r="D46" s="14" t="s">
        <v>26</v>
      </c>
      <c r="E46" s="16" t="s">
        <v>320</v>
      </c>
      <c r="F46" s="13">
        <f t="shared" si="1"/>
        <v>54</v>
      </c>
      <c r="G46" s="13">
        <f t="shared" si="2"/>
        <v>21</v>
      </c>
      <c r="H46" s="13">
        <f t="shared" si="3"/>
        <v>7</v>
      </c>
      <c r="I46" s="14" t="str">
        <f t="shared" si="4"/>
        <v>julio</v>
      </c>
      <c r="J46" s="14" t="s">
        <v>321</v>
      </c>
      <c r="K46" s="14" t="s">
        <v>131</v>
      </c>
      <c r="L46" s="14" t="s">
        <v>322</v>
      </c>
      <c r="M46" s="14">
        <v>8.4884908E7</v>
      </c>
      <c r="N46" s="14" t="s">
        <v>31</v>
      </c>
      <c r="O46" s="14" t="s">
        <v>32</v>
      </c>
      <c r="P46" s="16" t="s">
        <v>323</v>
      </c>
      <c r="Q46" s="13">
        <f t="shared" si="5"/>
        <v>17</v>
      </c>
      <c r="R46" s="13">
        <f t="shared" si="6"/>
        <v>7</v>
      </c>
      <c r="S46" s="14" t="s">
        <v>64</v>
      </c>
      <c r="T46" s="8" t="s">
        <v>35</v>
      </c>
      <c r="U46" s="14" t="s">
        <v>47</v>
      </c>
      <c r="V46" s="13" t="s">
        <v>48</v>
      </c>
      <c r="W46" s="9" t="s">
        <v>38</v>
      </c>
      <c r="X46" s="13" t="s">
        <v>38</v>
      </c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ht="18.0" hidden="1" customHeight="1">
      <c r="A47" s="3">
        <v>46.0</v>
      </c>
      <c r="B47" s="4" t="s">
        <v>324</v>
      </c>
      <c r="C47" s="5" t="s">
        <v>325</v>
      </c>
      <c r="D47" s="6" t="s">
        <v>26</v>
      </c>
      <c r="E47" s="7" t="s">
        <v>326</v>
      </c>
      <c r="F47" s="5">
        <f t="shared" si="1"/>
        <v>36</v>
      </c>
      <c r="G47" s="5">
        <f t="shared" si="2"/>
        <v>5</v>
      </c>
      <c r="H47" s="5">
        <f t="shared" si="3"/>
        <v>10</v>
      </c>
      <c r="I47" s="6" t="str">
        <f t="shared" si="4"/>
        <v>octubre</v>
      </c>
      <c r="J47" s="6" t="s">
        <v>327</v>
      </c>
      <c r="K47" s="6" t="s">
        <v>53</v>
      </c>
      <c r="L47" s="6" t="s">
        <v>328</v>
      </c>
      <c r="M47" s="6">
        <v>6.4120512E7</v>
      </c>
      <c r="N47" s="6" t="s">
        <v>31</v>
      </c>
      <c r="O47" s="6" t="s">
        <v>32</v>
      </c>
      <c r="P47" s="7" t="s">
        <v>139</v>
      </c>
      <c r="Q47" s="5">
        <f t="shared" si="5"/>
        <v>9</v>
      </c>
      <c r="R47" s="5">
        <f t="shared" si="6"/>
        <v>0</v>
      </c>
      <c r="S47" s="6" t="s">
        <v>46</v>
      </c>
      <c r="T47" s="8" t="s">
        <v>35</v>
      </c>
      <c r="U47" s="6" t="s">
        <v>36</v>
      </c>
      <c r="V47" s="5" t="s">
        <v>37</v>
      </c>
      <c r="W47" s="9" t="s">
        <v>38</v>
      </c>
      <c r="X47" s="5" t="s">
        <v>38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8.0" hidden="1" customHeight="1">
      <c r="A48" s="11">
        <v>47.0</v>
      </c>
      <c r="B48" s="12" t="s">
        <v>329</v>
      </c>
      <c r="C48" s="13" t="s">
        <v>330</v>
      </c>
      <c r="D48" s="14" t="s">
        <v>26</v>
      </c>
      <c r="E48" s="16" t="s">
        <v>331</v>
      </c>
      <c r="F48" s="13">
        <f t="shared" si="1"/>
        <v>30</v>
      </c>
      <c r="G48" s="13">
        <f t="shared" si="2"/>
        <v>25</v>
      </c>
      <c r="H48" s="13">
        <f t="shared" si="3"/>
        <v>12</v>
      </c>
      <c r="I48" s="14" t="str">
        <f t="shared" si="4"/>
        <v>diciembre</v>
      </c>
      <c r="J48" s="14" t="s">
        <v>332</v>
      </c>
      <c r="K48" s="14" t="s">
        <v>53</v>
      </c>
      <c r="L48" s="14" t="s">
        <v>333</v>
      </c>
      <c r="M48" s="14">
        <v>8.6359729E7</v>
      </c>
      <c r="N48" s="14" t="s">
        <v>83</v>
      </c>
      <c r="O48" s="14" t="s">
        <v>32</v>
      </c>
      <c r="P48" s="16" t="s">
        <v>334</v>
      </c>
      <c r="Q48" s="13">
        <f t="shared" si="5"/>
        <v>6</v>
      </c>
      <c r="R48" s="13">
        <f t="shared" si="6"/>
        <v>11</v>
      </c>
      <c r="S48" s="14" t="s">
        <v>46</v>
      </c>
      <c r="T48" s="8" t="s">
        <v>35</v>
      </c>
      <c r="U48" s="14" t="s">
        <v>47</v>
      </c>
      <c r="V48" s="13" t="s">
        <v>48</v>
      </c>
      <c r="W48" s="9" t="s">
        <v>38</v>
      </c>
      <c r="X48" s="13" t="s">
        <v>38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ht="18.0" hidden="1" customHeight="1">
      <c r="A49" s="3">
        <v>48.0</v>
      </c>
      <c r="B49" s="4" t="s">
        <v>335</v>
      </c>
      <c r="C49" s="5" t="s">
        <v>336</v>
      </c>
      <c r="D49" s="6" t="s">
        <v>26</v>
      </c>
      <c r="E49" s="7" t="s">
        <v>337</v>
      </c>
      <c r="F49" s="5">
        <f t="shared" si="1"/>
        <v>52</v>
      </c>
      <c r="G49" s="5">
        <f t="shared" si="2"/>
        <v>16</v>
      </c>
      <c r="H49" s="5">
        <f t="shared" si="3"/>
        <v>7</v>
      </c>
      <c r="I49" s="6" t="str">
        <f t="shared" si="4"/>
        <v>julio</v>
      </c>
      <c r="J49" s="6" t="s">
        <v>338</v>
      </c>
      <c r="K49" s="6" t="s">
        <v>53</v>
      </c>
      <c r="L49" s="6" t="s">
        <v>339</v>
      </c>
      <c r="M49" s="6">
        <v>3.3831188E7</v>
      </c>
      <c r="N49" s="6" t="s">
        <v>83</v>
      </c>
      <c r="O49" s="6" t="s">
        <v>32</v>
      </c>
      <c r="P49" s="7" t="s">
        <v>340</v>
      </c>
      <c r="Q49" s="5">
        <f t="shared" si="5"/>
        <v>6</v>
      </c>
      <c r="R49" s="5">
        <f t="shared" si="6"/>
        <v>1</v>
      </c>
      <c r="S49" s="6" t="s">
        <v>341</v>
      </c>
      <c r="T49" s="8" t="s">
        <v>35</v>
      </c>
      <c r="U49" s="6" t="s">
        <v>36</v>
      </c>
      <c r="V49" s="5" t="s">
        <v>37</v>
      </c>
      <c r="W49" s="10"/>
      <c r="X49" s="5" t="s">
        <v>38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8.0" hidden="1" customHeight="1">
      <c r="A50" s="11">
        <v>49.0</v>
      </c>
      <c r="B50" s="12" t="s">
        <v>342</v>
      </c>
      <c r="C50" s="13" t="s">
        <v>343</v>
      </c>
      <c r="D50" s="14" t="s">
        <v>41</v>
      </c>
      <c r="E50" s="16" t="s">
        <v>344</v>
      </c>
      <c r="F50" s="13">
        <f t="shared" si="1"/>
        <v>43</v>
      </c>
      <c r="G50" s="13">
        <f t="shared" si="2"/>
        <v>14</v>
      </c>
      <c r="H50" s="13">
        <f t="shared" si="3"/>
        <v>6</v>
      </c>
      <c r="I50" s="14" t="str">
        <f t="shared" si="4"/>
        <v>junio</v>
      </c>
      <c r="J50" s="14" t="s">
        <v>345</v>
      </c>
      <c r="K50" s="14" t="s">
        <v>29</v>
      </c>
      <c r="L50" s="14" t="s">
        <v>346</v>
      </c>
      <c r="M50" s="14">
        <v>6.2595684E7</v>
      </c>
      <c r="N50" s="14" t="s">
        <v>70</v>
      </c>
      <c r="O50" s="14" t="s">
        <v>32</v>
      </c>
      <c r="P50" s="16" t="s">
        <v>347</v>
      </c>
      <c r="Q50" s="13">
        <f t="shared" si="5"/>
        <v>19</v>
      </c>
      <c r="R50" s="13">
        <f t="shared" si="6"/>
        <v>7</v>
      </c>
      <c r="S50" s="14" t="s">
        <v>265</v>
      </c>
      <c r="T50" s="8" t="s">
        <v>35</v>
      </c>
      <c r="U50" s="14" t="s">
        <v>47</v>
      </c>
      <c r="V50" s="13" t="s">
        <v>48</v>
      </c>
      <c r="W50" s="9" t="s">
        <v>38</v>
      </c>
      <c r="X50" s="13" t="s">
        <v>38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ht="18.0" hidden="1" customHeight="1">
      <c r="A51" s="3">
        <v>50.0</v>
      </c>
      <c r="B51" s="4" t="s">
        <v>348</v>
      </c>
      <c r="C51" s="5" t="s">
        <v>349</v>
      </c>
      <c r="D51" s="6" t="s">
        <v>26</v>
      </c>
      <c r="E51" s="7" t="s">
        <v>350</v>
      </c>
      <c r="F51" s="5">
        <f t="shared" si="1"/>
        <v>30</v>
      </c>
      <c r="G51" s="5">
        <f t="shared" si="2"/>
        <v>20</v>
      </c>
      <c r="H51" s="5">
        <f t="shared" si="3"/>
        <v>12</v>
      </c>
      <c r="I51" s="6" t="str">
        <f t="shared" si="4"/>
        <v>diciembre</v>
      </c>
      <c r="J51" s="6" t="s">
        <v>351</v>
      </c>
      <c r="K51" s="6" t="s">
        <v>53</v>
      </c>
      <c r="L51" s="6" t="s">
        <v>352</v>
      </c>
      <c r="M51" s="6">
        <v>7.8848028E7</v>
      </c>
      <c r="N51" s="6" t="s">
        <v>31</v>
      </c>
      <c r="O51" s="6" t="s">
        <v>32</v>
      </c>
      <c r="P51" s="7" t="s">
        <v>353</v>
      </c>
      <c r="Q51" s="5">
        <f t="shared" si="5"/>
        <v>5</v>
      </c>
      <c r="R51" s="5">
        <f t="shared" si="6"/>
        <v>6</v>
      </c>
      <c r="S51" s="6" t="s">
        <v>46</v>
      </c>
      <c r="T51" s="8" t="s">
        <v>35</v>
      </c>
      <c r="U51" s="6" t="s">
        <v>47</v>
      </c>
      <c r="V51" s="5" t="s">
        <v>48</v>
      </c>
      <c r="W51" s="9" t="s">
        <v>38</v>
      </c>
      <c r="X51" s="5" t="s">
        <v>38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8.0" hidden="1" customHeight="1">
      <c r="A52" s="11">
        <v>51.0</v>
      </c>
      <c r="B52" s="12" t="s">
        <v>354</v>
      </c>
      <c r="C52" s="13" t="s">
        <v>355</v>
      </c>
      <c r="D52" s="14" t="s">
        <v>26</v>
      </c>
      <c r="E52" s="16" t="s">
        <v>356</v>
      </c>
      <c r="F52" s="13">
        <f t="shared" si="1"/>
        <v>51</v>
      </c>
      <c r="G52" s="13">
        <f t="shared" si="2"/>
        <v>29</v>
      </c>
      <c r="H52" s="13">
        <f t="shared" si="3"/>
        <v>11</v>
      </c>
      <c r="I52" s="14" t="str">
        <f t="shared" si="4"/>
        <v>noviembre</v>
      </c>
      <c r="J52" s="14" t="s">
        <v>357</v>
      </c>
      <c r="K52" s="14" t="s">
        <v>68</v>
      </c>
      <c r="L52" s="14" t="s">
        <v>358</v>
      </c>
      <c r="M52" s="14">
        <v>9.7989634E7</v>
      </c>
      <c r="N52" s="14" t="s">
        <v>91</v>
      </c>
      <c r="O52" s="14" t="s">
        <v>32</v>
      </c>
      <c r="P52" s="16" t="s">
        <v>359</v>
      </c>
      <c r="Q52" s="13">
        <f t="shared" si="5"/>
        <v>8</v>
      </c>
      <c r="R52" s="13">
        <f t="shared" si="6"/>
        <v>2</v>
      </c>
      <c r="S52" s="14" t="s">
        <v>360</v>
      </c>
      <c r="T52" s="8" t="s">
        <v>35</v>
      </c>
      <c r="U52" s="14" t="s">
        <v>36</v>
      </c>
      <c r="V52" s="13" t="s">
        <v>37</v>
      </c>
      <c r="W52" s="9" t="s">
        <v>38</v>
      </c>
      <c r="X52" s="13" t="s">
        <v>38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ht="18.0" hidden="1" customHeight="1">
      <c r="A53" s="3">
        <v>52.0</v>
      </c>
      <c r="B53" s="4" t="s">
        <v>361</v>
      </c>
      <c r="C53" s="5" t="s">
        <v>362</v>
      </c>
      <c r="D53" s="6" t="s">
        <v>26</v>
      </c>
      <c r="E53" s="7" t="s">
        <v>363</v>
      </c>
      <c r="F53" s="5">
        <f t="shared" si="1"/>
        <v>46</v>
      </c>
      <c r="G53" s="5">
        <f t="shared" si="2"/>
        <v>29</v>
      </c>
      <c r="H53" s="5">
        <f t="shared" si="3"/>
        <v>8</v>
      </c>
      <c r="I53" s="6" t="str">
        <f t="shared" si="4"/>
        <v>agosto</v>
      </c>
      <c r="J53" s="6" t="s">
        <v>364</v>
      </c>
      <c r="K53" s="6" t="s">
        <v>131</v>
      </c>
      <c r="L53" s="6" t="s">
        <v>365</v>
      </c>
      <c r="M53" s="6">
        <v>6.8363957E7</v>
      </c>
      <c r="N53" s="6" t="s">
        <v>91</v>
      </c>
      <c r="O53" s="6" t="s">
        <v>32</v>
      </c>
      <c r="P53" s="7" t="s">
        <v>366</v>
      </c>
      <c r="Q53" s="5">
        <f t="shared" si="5"/>
        <v>11</v>
      </c>
      <c r="R53" s="5">
        <f t="shared" si="6"/>
        <v>0</v>
      </c>
      <c r="S53" s="6" t="s">
        <v>46</v>
      </c>
      <c r="T53" s="8" t="s">
        <v>35</v>
      </c>
      <c r="U53" s="6" t="s">
        <v>47</v>
      </c>
      <c r="V53" s="5" t="s">
        <v>48</v>
      </c>
      <c r="W53" s="24" t="s">
        <v>285</v>
      </c>
      <c r="X53" s="5" t="s">
        <v>38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8.0" hidden="1" customHeight="1">
      <c r="A54" s="11">
        <v>53.0</v>
      </c>
      <c r="B54" s="12" t="s">
        <v>367</v>
      </c>
      <c r="C54" s="13" t="s">
        <v>368</v>
      </c>
      <c r="D54" s="14" t="s">
        <v>26</v>
      </c>
      <c r="E54" s="16" t="s">
        <v>369</v>
      </c>
      <c r="F54" s="13">
        <f t="shared" si="1"/>
        <v>47</v>
      </c>
      <c r="G54" s="13">
        <f t="shared" si="2"/>
        <v>2</v>
      </c>
      <c r="H54" s="13">
        <f t="shared" si="3"/>
        <v>7</v>
      </c>
      <c r="I54" s="14" t="str">
        <f t="shared" si="4"/>
        <v>julio</v>
      </c>
      <c r="J54" s="14" t="s">
        <v>370</v>
      </c>
      <c r="K54" s="14" t="s">
        <v>53</v>
      </c>
      <c r="L54" s="14" t="s">
        <v>371</v>
      </c>
      <c r="M54" s="14">
        <v>9.4165102E7</v>
      </c>
      <c r="N54" s="14" t="s">
        <v>61</v>
      </c>
      <c r="O54" s="14" t="s">
        <v>32</v>
      </c>
      <c r="P54" s="16" t="s">
        <v>372</v>
      </c>
      <c r="Q54" s="13">
        <f t="shared" si="5"/>
        <v>9</v>
      </c>
      <c r="R54" s="13">
        <f t="shared" si="6"/>
        <v>8</v>
      </c>
      <c r="S54" s="14" t="s">
        <v>46</v>
      </c>
      <c r="T54" s="8" t="s">
        <v>35</v>
      </c>
      <c r="U54" s="14" t="s">
        <v>36</v>
      </c>
      <c r="V54" s="13" t="s">
        <v>37</v>
      </c>
      <c r="W54" s="9" t="s">
        <v>38</v>
      </c>
      <c r="X54" s="13" t="s">
        <v>38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ht="18.0" hidden="1" customHeight="1">
      <c r="A55" s="3">
        <v>54.0</v>
      </c>
      <c r="B55" s="4" t="s">
        <v>373</v>
      </c>
      <c r="C55" s="5" t="s">
        <v>374</v>
      </c>
      <c r="D55" s="6" t="s">
        <v>41</v>
      </c>
      <c r="E55" s="7" t="s">
        <v>375</v>
      </c>
      <c r="F55" s="5">
        <f t="shared" si="1"/>
        <v>60</v>
      </c>
      <c r="G55" s="5">
        <f t="shared" si="2"/>
        <v>6</v>
      </c>
      <c r="H55" s="5">
        <f t="shared" si="3"/>
        <v>9</v>
      </c>
      <c r="I55" s="6" t="str">
        <f t="shared" si="4"/>
        <v>septiembre</v>
      </c>
      <c r="J55" s="6" t="s">
        <v>376</v>
      </c>
      <c r="K55" s="6" t="s">
        <v>29</v>
      </c>
      <c r="L55" s="6" t="s">
        <v>377</v>
      </c>
      <c r="M55" s="6">
        <v>3.5741033E7</v>
      </c>
      <c r="N55" s="6" t="s">
        <v>125</v>
      </c>
      <c r="O55" s="6" t="s">
        <v>32</v>
      </c>
      <c r="P55" s="7" t="s">
        <v>378</v>
      </c>
      <c r="Q55" s="5">
        <f t="shared" si="5"/>
        <v>15</v>
      </c>
      <c r="R55" s="5">
        <f t="shared" si="6"/>
        <v>5</v>
      </c>
      <c r="S55" s="6" t="s">
        <v>284</v>
      </c>
      <c r="T55" s="8" t="s">
        <v>35</v>
      </c>
      <c r="U55" s="6" t="s">
        <v>47</v>
      </c>
      <c r="V55" s="5" t="s">
        <v>48</v>
      </c>
      <c r="W55" s="9" t="s">
        <v>38</v>
      </c>
      <c r="X55" s="5" t="s">
        <v>38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8.0" hidden="1" customHeight="1">
      <c r="A56" s="11">
        <v>55.0</v>
      </c>
      <c r="B56" s="12" t="s">
        <v>379</v>
      </c>
      <c r="C56" s="13" t="s">
        <v>380</v>
      </c>
      <c r="D56" s="14" t="s">
        <v>26</v>
      </c>
      <c r="E56" s="16" t="s">
        <v>381</v>
      </c>
      <c r="F56" s="13">
        <f t="shared" si="1"/>
        <v>23</v>
      </c>
      <c r="G56" s="13">
        <f t="shared" si="2"/>
        <v>14</v>
      </c>
      <c r="H56" s="13">
        <f t="shared" si="3"/>
        <v>11</v>
      </c>
      <c r="I56" s="14" t="str">
        <f t="shared" si="4"/>
        <v>noviembre</v>
      </c>
      <c r="J56" s="14" t="s">
        <v>382</v>
      </c>
      <c r="K56" s="14" t="s">
        <v>89</v>
      </c>
      <c r="L56" s="14" t="s">
        <v>383</v>
      </c>
      <c r="M56" s="14">
        <v>4.5532207E7</v>
      </c>
      <c r="N56" s="14" t="s">
        <v>31</v>
      </c>
      <c r="O56" s="14" t="s">
        <v>32</v>
      </c>
      <c r="P56" s="16" t="s">
        <v>384</v>
      </c>
      <c r="Q56" s="13">
        <f t="shared" si="5"/>
        <v>5</v>
      </c>
      <c r="R56" s="13">
        <f t="shared" si="6"/>
        <v>2</v>
      </c>
      <c r="S56" s="14" t="s">
        <v>46</v>
      </c>
      <c r="T56" s="8" t="s">
        <v>35</v>
      </c>
      <c r="U56" s="14" t="s">
        <v>47</v>
      </c>
      <c r="V56" s="13" t="s">
        <v>48</v>
      </c>
      <c r="W56" s="9" t="s">
        <v>38</v>
      </c>
      <c r="X56" s="13" t="s">
        <v>38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</row>
    <row r="57" ht="18.0" hidden="1" customHeight="1">
      <c r="A57" s="3">
        <v>56.0</v>
      </c>
      <c r="B57" s="4" t="s">
        <v>385</v>
      </c>
      <c r="C57" s="5" t="s">
        <v>386</v>
      </c>
      <c r="D57" s="6" t="s">
        <v>41</v>
      </c>
      <c r="E57" s="19">
        <v>27173.0</v>
      </c>
      <c r="F57" s="5">
        <f t="shared" si="1"/>
        <v>48</v>
      </c>
      <c r="G57" s="5">
        <f t="shared" si="2"/>
        <v>3</v>
      </c>
      <c r="H57" s="5">
        <f t="shared" si="3"/>
        <v>9</v>
      </c>
      <c r="I57" s="6" t="str">
        <f t="shared" si="4"/>
        <v>septiembre</v>
      </c>
      <c r="J57" s="6" t="s">
        <v>387</v>
      </c>
      <c r="K57" s="6" t="s">
        <v>388</v>
      </c>
      <c r="L57" s="6" t="s">
        <v>389</v>
      </c>
      <c r="M57" s="6">
        <v>9.36516944E8</v>
      </c>
      <c r="N57" s="6" t="s">
        <v>31</v>
      </c>
      <c r="O57" s="6" t="s">
        <v>32</v>
      </c>
      <c r="P57" s="7" t="s">
        <v>390</v>
      </c>
      <c r="Q57" s="5">
        <f t="shared" si="5"/>
        <v>8</v>
      </c>
      <c r="R57" s="5">
        <f t="shared" si="6"/>
        <v>5</v>
      </c>
      <c r="S57" s="6" t="s">
        <v>225</v>
      </c>
      <c r="T57" s="8" t="s">
        <v>35</v>
      </c>
      <c r="U57" s="6" t="s">
        <v>47</v>
      </c>
      <c r="V57" s="5" t="s">
        <v>48</v>
      </c>
      <c r="W57" s="9" t="s">
        <v>38</v>
      </c>
      <c r="X57" s="5" t="s">
        <v>38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8.0" hidden="1" customHeight="1">
      <c r="A58" s="11">
        <v>57.0</v>
      </c>
      <c r="B58" s="12" t="s">
        <v>391</v>
      </c>
      <c r="C58" s="13" t="s">
        <v>392</v>
      </c>
      <c r="D58" s="14" t="s">
        <v>26</v>
      </c>
      <c r="E58" s="16" t="s">
        <v>393</v>
      </c>
      <c r="F58" s="13">
        <f t="shared" si="1"/>
        <v>51</v>
      </c>
      <c r="G58" s="13">
        <f t="shared" si="2"/>
        <v>24</v>
      </c>
      <c r="H58" s="13">
        <f t="shared" si="3"/>
        <v>5</v>
      </c>
      <c r="I58" s="14" t="str">
        <f t="shared" si="4"/>
        <v>mayo</v>
      </c>
      <c r="J58" s="14" t="s">
        <v>394</v>
      </c>
      <c r="K58" s="14" t="s">
        <v>68</v>
      </c>
      <c r="L58" s="14" t="s">
        <v>395</v>
      </c>
      <c r="M58" s="14">
        <v>7.8174033E7</v>
      </c>
      <c r="N58" s="14" t="s">
        <v>61</v>
      </c>
      <c r="O58" s="14" t="s">
        <v>32</v>
      </c>
      <c r="P58" s="16" t="s">
        <v>396</v>
      </c>
      <c r="Q58" s="13">
        <f t="shared" si="5"/>
        <v>4</v>
      </c>
      <c r="R58" s="13">
        <f t="shared" si="6"/>
        <v>1</v>
      </c>
      <c r="S58" s="14" t="s">
        <v>46</v>
      </c>
      <c r="T58" s="8" t="s">
        <v>35</v>
      </c>
      <c r="U58" s="14" t="s">
        <v>47</v>
      </c>
      <c r="V58" s="13" t="s">
        <v>48</v>
      </c>
      <c r="W58" s="9" t="s">
        <v>38</v>
      </c>
      <c r="X58" s="13" t="s">
        <v>38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ht="18.0" hidden="1" customHeight="1">
      <c r="A59" s="3">
        <v>59.0</v>
      </c>
      <c r="B59" s="4" t="s">
        <v>397</v>
      </c>
      <c r="C59" s="5" t="s">
        <v>398</v>
      </c>
      <c r="D59" s="6" t="s">
        <v>26</v>
      </c>
      <c r="E59" s="7" t="s">
        <v>399</v>
      </c>
      <c r="F59" s="5">
        <f t="shared" si="1"/>
        <v>50</v>
      </c>
      <c r="G59" s="5">
        <f t="shared" si="2"/>
        <v>5</v>
      </c>
      <c r="H59" s="5">
        <f t="shared" si="3"/>
        <v>8</v>
      </c>
      <c r="I59" s="6" t="str">
        <f t="shared" si="4"/>
        <v>agosto</v>
      </c>
      <c r="J59" s="6" t="s">
        <v>400</v>
      </c>
      <c r="K59" s="6" t="s">
        <v>53</v>
      </c>
      <c r="L59" s="6" t="s">
        <v>401</v>
      </c>
      <c r="M59" s="6">
        <v>9.99811E7</v>
      </c>
      <c r="N59" s="6" t="s">
        <v>91</v>
      </c>
      <c r="O59" s="6" t="s">
        <v>32</v>
      </c>
      <c r="P59" s="7" t="s">
        <v>402</v>
      </c>
      <c r="Q59" s="5">
        <f t="shared" si="5"/>
        <v>14</v>
      </c>
      <c r="R59" s="5">
        <f t="shared" si="6"/>
        <v>1</v>
      </c>
      <c r="S59" s="6" t="s">
        <v>46</v>
      </c>
      <c r="T59" s="8" t="s">
        <v>35</v>
      </c>
      <c r="U59" s="6" t="s">
        <v>36</v>
      </c>
      <c r="V59" s="5" t="s">
        <v>37</v>
      </c>
      <c r="W59" s="9" t="s">
        <v>38</v>
      </c>
      <c r="X59" s="5" t="s">
        <v>38</v>
      </c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8.0" hidden="1" customHeight="1">
      <c r="A60" s="11">
        <v>60.0</v>
      </c>
      <c r="B60" s="12" t="s">
        <v>403</v>
      </c>
      <c r="C60" s="13" t="s">
        <v>404</v>
      </c>
      <c r="D60" s="14" t="s">
        <v>26</v>
      </c>
      <c r="E60" s="16" t="s">
        <v>405</v>
      </c>
      <c r="F60" s="13">
        <f t="shared" si="1"/>
        <v>59</v>
      </c>
      <c r="G60" s="13">
        <f t="shared" si="2"/>
        <v>23</v>
      </c>
      <c r="H60" s="13">
        <f t="shared" si="3"/>
        <v>12</v>
      </c>
      <c r="I60" s="14" t="str">
        <f t="shared" si="4"/>
        <v>diciembre</v>
      </c>
      <c r="J60" s="14" t="s">
        <v>406</v>
      </c>
      <c r="K60" s="14" t="s">
        <v>29</v>
      </c>
      <c r="L60" s="14" t="s">
        <v>407</v>
      </c>
      <c r="M60" s="14">
        <v>9.3336769E7</v>
      </c>
      <c r="N60" s="14" t="s">
        <v>249</v>
      </c>
      <c r="O60" s="14" t="s">
        <v>32</v>
      </c>
      <c r="P60" s="16" t="s">
        <v>408</v>
      </c>
      <c r="Q60" s="13">
        <f t="shared" si="5"/>
        <v>35</v>
      </c>
      <c r="R60" s="13">
        <f t="shared" si="6"/>
        <v>10</v>
      </c>
      <c r="S60" s="14" t="s">
        <v>409</v>
      </c>
      <c r="T60" s="8" t="s">
        <v>35</v>
      </c>
      <c r="U60" s="14" t="s">
        <v>47</v>
      </c>
      <c r="V60" s="13" t="s">
        <v>48</v>
      </c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ht="18.0" hidden="1" customHeight="1">
      <c r="A61" s="3">
        <v>61.0</v>
      </c>
      <c r="B61" s="4" t="s">
        <v>410</v>
      </c>
      <c r="C61" s="5" t="s">
        <v>411</v>
      </c>
      <c r="D61" s="6" t="s">
        <v>26</v>
      </c>
      <c r="E61" s="7" t="s">
        <v>412</v>
      </c>
      <c r="F61" s="5">
        <f t="shared" si="1"/>
        <v>57</v>
      </c>
      <c r="G61" s="5">
        <f t="shared" si="2"/>
        <v>7</v>
      </c>
      <c r="H61" s="5">
        <f t="shared" si="3"/>
        <v>3</v>
      </c>
      <c r="I61" s="6" t="str">
        <f t="shared" si="4"/>
        <v>marzo</v>
      </c>
      <c r="J61" s="6" t="s">
        <v>413</v>
      </c>
      <c r="K61" s="6" t="s">
        <v>123</v>
      </c>
      <c r="L61" s="6" t="s">
        <v>414</v>
      </c>
      <c r="M61" s="6">
        <v>7.9892152E7</v>
      </c>
      <c r="N61" s="6" t="s">
        <v>70</v>
      </c>
      <c r="O61" s="6" t="s">
        <v>32</v>
      </c>
      <c r="P61" s="7" t="s">
        <v>415</v>
      </c>
      <c r="Q61" s="5">
        <f t="shared" si="5"/>
        <v>9</v>
      </c>
      <c r="R61" s="5">
        <f t="shared" si="6"/>
        <v>3</v>
      </c>
      <c r="S61" s="6" t="s">
        <v>64</v>
      </c>
      <c r="T61" s="8" t="s">
        <v>35</v>
      </c>
      <c r="U61" s="6" t="s">
        <v>47</v>
      </c>
      <c r="V61" s="5" t="s">
        <v>48</v>
      </c>
      <c r="W61" s="9" t="s">
        <v>38</v>
      </c>
      <c r="X61" s="5" t="s">
        <v>38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8.0" hidden="1" customHeight="1">
      <c r="A62" s="11">
        <v>62.0</v>
      </c>
      <c r="B62" s="12" t="s">
        <v>416</v>
      </c>
      <c r="C62" s="13" t="s">
        <v>417</v>
      </c>
      <c r="D62" s="14" t="s">
        <v>26</v>
      </c>
      <c r="E62" s="25">
        <v>32433.0</v>
      </c>
      <c r="F62" s="13">
        <f t="shared" si="1"/>
        <v>29</v>
      </c>
      <c r="G62" s="13">
        <f t="shared" si="2"/>
        <v>10</v>
      </c>
      <c r="H62" s="13">
        <f t="shared" si="3"/>
        <v>1</v>
      </c>
      <c r="I62" s="14" t="str">
        <f t="shared" si="4"/>
        <v>enero</v>
      </c>
      <c r="J62" s="14" t="s">
        <v>418</v>
      </c>
      <c r="K62" s="14" t="s">
        <v>29</v>
      </c>
      <c r="L62" s="21" t="s">
        <v>419</v>
      </c>
      <c r="M62" s="14">
        <v>9.84699306E8</v>
      </c>
      <c r="N62" s="14" t="s">
        <v>61</v>
      </c>
      <c r="O62" s="14" t="s">
        <v>32</v>
      </c>
      <c r="P62" s="16" t="s">
        <v>420</v>
      </c>
      <c r="Q62" s="13">
        <f t="shared" si="5"/>
        <v>6</v>
      </c>
      <c r="R62" s="13">
        <f t="shared" si="6"/>
        <v>2</v>
      </c>
      <c r="S62" s="14" t="s">
        <v>46</v>
      </c>
      <c r="T62" s="8" t="s">
        <v>35</v>
      </c>
      <c r="U62" s="14" t="s">
        <v>36</v>
      </c>
      <c r="V62" s="13" t="s">
        <v>37</v>
      </c>
      <c r="W62" s="9" t="s">
        <v>38</v>
      </c>
      <c r="X62" s="13" t="s">
        <v>38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ht="18.0" hidden="1" customHeight="1">
      <c r="A63" s="3">
        <v>63.0</v>
      </c>
      <c r="B63" s="4" t="s">
        <v>421</v>
      </c>
      <c r="C63" s="5" t="s">
        <v>422</v>
      </c>
      <c r="D63" s="6" t="s">
        <v>26</v>
      </c>
      <c r="E63" s="7" t="s">
        <v>423</v>
      </c>
      <c r="F63" s="5">
        <f t="shared" si="1"/>
        <v>37</v>
      </c>
      <c r="G63" s="5">
        <f t="shared" si="2"/>
        <v>17</v>
      </c>
      <c r="H63" s="5">
        <f t="shared" si="3"/>
        <v>10</v>
      </c>
      <c r="I63" s="6" t="str">
        <f t="shared" si="4"/>
        <v>octubre</v>
      </c>
      <c r="J63" s="6" t="s">
        <v>424</v>
      </c>
      <c r="K63" s="6" t="s">
        <v>210</v>
      </c>
      <c r="L63" s="6" t="s">
        <v>425</v>
      </c>
      <c r="M63" s="6">
        <v>9.0007155E7</v>
      </c>
      <c r="N63" s="6" t="s">
        <v>70</v>
      </c>
      <c r="O63" s="6" t="s">
        <v>32</v>
      </c>
      <c r="P63" s="7" t="s">
        <v>426</v>
      </c>
      <c r="Q63" s="5">
        <f t="shared" si="5"/>
        <v>3</v>
      </c>
      <c r="R63" s="5">
        <f t="shared" si="6"/>
        <v>10</v>
      </c>
      <c r="S63" s="6" t="s">
        <v>250</v>
      </c>
      <c r="T63" s="5">
        <v>1.0</v>
      </c>
      <c r="U63" s="6" t="s">
        <v>47</v>
      </c>
      <c r="V63" s="5" t="s">
        <v>48</v>
      </c>
      <c r="W63" s="10"/>
      <c r="X63" s="5" t="s">
        <v>38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8.0" hidden="1" customHeight="1">
      <c r="A64" s="11">
        <v>64.0</v>
      </c>
      <c r="B64" s="12" t="s">
        <v>427</v>
      </c>
      <c r="C64" s="13" t="s">
        <v>428</v>
      </c>
      <c r="D64" s="14" t="s">
        <v>26</v>
      </c>
      <c r="E64" s="16" t="s">
        <v>429</v>
      </c>
      <c r="F64" s="13">
        <f t="shared" si="1"/>
        <v>32</v>
      </c>
      <c r="G64" s="13">
        <f t="shared" si="2"/>
        <v>2</v>
      </c>
      <c r="H64" s="13">
        <f t="shared" si="3"/>
        <v>10</v>
      </c>
      <c r="I64" s="14" t="str">
        <f t="shared" si="4"/>
        <v>octubre</v>
      </c>
      <c r="J64" s="14" t="s">
        <v>430</v>
      </c>
      <c r="K64" s="14" t="s">
        <v>29</v>
      </c>
      <c r="L64" s="14" t="s">
        <v>431</v>
      </c>
      <c r="M64" s="14">
        <v>6.1242413E7</v>
      </c>
      <c r="N64" s="14" t="s">
        <v>31</v>
      </c>
      <c r="O64" s="14" t="s">
        <v>32</v>
      </c>
      <c r="P64" s="16" t="s">
        <v>432</v>
      </c>
      <c r="Q64" s="13">
        <f t="shared" si="5"/>
        <v>9</v>
      </c>
      <c r="R64" s="13">
        <f t="shared" si="6"/>
        <v>8</v>
      </c>
      <c r="S64" s="14" t="s">
        <v>94</v>
      </c>
      <c r="T64" s="8" t="s">
        <v>35</v>
      </c>
      <c r="U64" s="14" t="s">
        <v>47</v>
      </c>
      <c r="V64" s="13" t="s">
        <v>48</v>
      </c>
      <c r="W64" s="17"/>
      <c r="X64" s="13" t="s">
        <v>38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ht="18.0" hidden="1" customHeight="1">
      <c r="A65" s="3">
        <v>65.0</v>
      </c>
      <c r="B65" s="4" t="s">
        <v>433</v>
      </c>
      <c r="C65" s="5" t="s">
        <v>434</v>
      </c>
      <c r="D65" s="6" t="s">
        <v>26</v>
      </c>
      <c r="E65" s="19">
        <v>31215.0</v>
      </c>
      <c r="F65" s="5">
        <f t="shared" si="1"/>
        <v>30</v>
      </c>
      <c r="G65" s="5">
        <f t="shared" si="2"/>
        <v>11</v>
      </c>
      <c r="H65" s="5">
        <f t="shared" si="3"/>
        <v>12</v>
      </c>
      <c r="I65" s="6" t="str">
        <f t="shared" si="4"/>
        <v>diciembre</v>
      </c>
      <c r="J65" s="6" t="s">
        <v>435</v>
      </c>
      <c r="K65" s="6" t="s">
        <v>29</v>
      </c>
      <c r="L65" s="6" t="s">
        <v>436</v>
      </c>
      <c r="M65" s="6">
        <v>9.50950802E8</v>
      </c>
      <c r="N65" s="6" t="s">
        <v>83</v>
      </c>
      <c r="O65" s="6" t="s">
        <v>32</v>
      </c>
      <c r="P65" s="7" t="s">
        <v>437</v>
      </c>
      <c r="Q65" s="5">
        <f t="shared" si="5"/>
        <v>4</v>
      </c>
      <c r="R65" s="5">
        <f t="shared" si="6"/>
        <v>11</v>
      </c>
      <c r="S65" s="6" t="s">
        <v>46</v>
      </c>
      <c r="T65" s="8" t="s">
        <v>35</v>
      </c>
      <c r="U65" s="6" t="s">
        <v>36</v>
      </c>
      <c r="V65" s="5" t="s">
        <v>37</v>
      </c>
      <c r="W65" s="9" t="s">
        <v>38</v>
      </c>
      <c r="X65" s="5" t="s">
        <v>38</v>
      </c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8.0" hidden="1" customHeight="1">
      <c r="A66" s="11">
        <v>66.0</v>
      </c>
      <c r="B66" s="12" t="s">
        <v>438</v>
      </c>
      <c r="C66" s="13" t="s">
        <v>439</v>
      </c>
      <c r="D66" s="14" t="s">
        <v>26</v>
      </c>
      <c r="E66" s="18">
        <v>27972.0</v>
      </c>
      <c r="F66" s="13">
        <f t="shared" si="1"/>
        <v>40</v>
      </c>
      <c r="G66" s="13">
        <f t="shared" si="2"/>
        <v>17</v>
      </c>
      <c r="H66" s="13">
        <f t="shared" si="3"/>
        <v>6</v>
      </c>
      <c r="I66" s="14" t="str">
        <f t="shared" si="4"/>
        <v>junio</v>
      </c>
      <c r="J66" s="14" t="s">
        <v>440</v>
      </c>
      <c r="K66" s="14" t="s">
        <v>131</v>
      </c>
      <c r="L66" s="14" t="s">
        <v>441</v>
      </c>
      <c r="M66" s="14">
        <v>9.91244235E8</v>
      </c>
      <c r="N66" s="14" t="s">
        <v>249</v>
      </c>
      <c r="O66" s="14" t="s">
        <v>32</v>
      </c>
      <c r="P66" s="16" t="s">
        <v>63</v>
      </c>
      <c r="Q66" s="13">
        <f t="shared" si="5"/>
        <v>3</v>
      </c>
      <c r="R66" s="13">
        <f t="shared" si="6"/>
        <v>10</v>
      </c>
      <c r="S66" s="14" t="s">
        <v>46</v>
      </c>
      <c r="T66" s="8" t="s">
        <v>35</v>
      </c>
      <c r="U66" s="14" t="s">
        <v>47</v>
      </c>
      <c r="V66" s="13" t="s">
        <v>48</v>
      </c>
      <c r="W66" s="9" t="s">
        <v>38</v>
      </c>
      <c r="X66" s="13" t="s">
        <v>38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ht="18.0" hidden="1" customHeight="1">
      <c r="A67" s="3">
        <v>67.0</v>
      </c>
      <c r="B67" s="4" t="s">
        <v>442</v>
      </c>
      <c r="C67" s="5" t="s">
        <v>443</v>
      </c>
      <c r="D67" s="6" t="s">
        <v>26</v>
      </c>
      <c r="E67" s="7" t="s">
        <v>444</v>
      </c>
      <c r="F67" s="5">
        <f t="shared" si="1"/>
        <v>49</v>
      </c>
      <c r="G67" s="5">
        <f t="shared" si="2"/>
        <v>31</v>
      </c>
      <c r="H67" s="5">
        <f t="shared" si="3"/>
        <v>7</v>
      </c>
      <c r="I67" s="6" t="str">
        <f t="shared" si="4"/>
        <v>julio</v>
      </c>
      <c r="J67" s="6" t="s">
        <v>445</v>
      </c>
      <c r="K67" s="6" t="s">
        <v>53</v>
      </c>
      <c r="L67" s="6" t="s">
        <v>446</v>
      </c>
      <c r="M67" s="6">
        <v>8.4510466E7</v>
      </c>
      <c r="N67" s="6" t="s">
        <v>31</v>
      </c>
      <c r="O67" s="6" t="s">
        <v>32</v>
      </c>
      <c r="P67" s="7" t="s">
        <v>447</v>
      </c>
      <c r="Q67" s="5">
        <f t="shared" si="5"/>
        <v>1</v>
      </c>
      <c r="R67" s="5">
        <f t="shared" si="6"/>
        <v>9</v>
      </c>
      <c r="S67" s="6" t="s">
        <v>64</v>
      </c>
      <c r="T67" s="8" t="s">
        <v>35</v>
      </c>
      <c r="U67" s="6" t="s">
        <v>36</v>
      </c>
      <c r="V67" s="5" t="s">
        <v>37</v>
      </c>
      <c r="W67" s="24" t="s">
        <v>285</v>
      </c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8.0" hidden="1" customHeight="1">
      <c r="A68" s="11">
        <v>68.0</v>
      </c>
      <c r="B68" s="12" t="s">
        <v>448</v>
      </c>
      <c r="C68" s="13" t="s">
        <v>449</v>
      </c>
      <c r="D68" s="14" t="s">
        <v>26</v>
      </c>
      <c r="E68" s="18">
        <v>24235.0</v>
      </c>
      <c r="F68" s="13">
        <f t="shared" si="1"/>
        <v>34</v>
      </c>
      <c r="G68" s="13">
        <f t="shared" si="2"/>
        <v>22</v>
      </c>
      <c r="H68" s="13">
        <f t="shared" si="3"/>
        <v>5</v>
      </c>
      <c r="I68" s="14" t="str">
        <f t="shared" si="4"/>
        <v>mayo</v>
      </c>
      <c r="J68" s="14" t="s">
        <v>450</v>
      </c>
      <c r="K68" s="14" t="s">
        <v>29</v>
      </c>
      <c r="L68" s="14" t="s">
        <v>451</v>
      </c>
      <c r="M68" s="14">
        <v>9.81218337E8</v>
      </c>
      <c r="N68" s="14" t="s">
        <v>249</v>
      </c>
      <c r="O68" s="14" t="s">
        <v>62</v>
      </c>
      <c r="P68" s="16" t="s">
        <v>452</v>
      </c>
      <c r="Q68" s="13">
        <f t="shared" si="5"/>
        <v>12</v>
      </c>
      <c r="R68" s="13">
        <f t="shared" si="6"/>
        <v>10</v>
      </c>
      <c r="S68" s="14" t="s">
        <v>250</v>
      </c>
      <c r="T68" s="13">
        <v>2.0</v>
      </c>
      <c r="U68" s="14" t="s">
        <v>47</v>
      </c>
      <c r="V68" s="13" t="s">
        <v>48</v>
      </c>
      <c r="W68" s="17"/>
      <c r="X68" s="13" t="s">
        <v>38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ht="18.0" hidden="1" customHeight="1">
      <c r="A69" s="3">
        <v>69.0</v>
      </c>
      <c r="B69" s="4" t="s">
        <v>453</v>
      </c>
      <c r="C69" s="5" t="s">
        <v>454</v>
      </c>
      <c r="D69" s="6" t="s">
        <v>26</v>
      </c>
      <c r="E69" s="7" t="s">
        <v>455</v>
      </c>
      <c r="F69" s="5">
        <f t="shared" si="1"/>
        <v>60</v>
      </c>
      <c r="G69" s="5">
        <f t="shared" si="2"/>
        <v>8</v>
      </c>
      <c r="H69" s="5">
        <f t="shared" si="3"/>
        <v>5</v>
      </c>
      <c r="I69" s="6" t="str">
        <f t="shared" si="4"/>
        <v>mayo</v>
      </c>
      <c r="J69" s="6" t="s">
        <v>456</v>
      </c>
      <c r="K69" s="6" t="s">
        <v>68</v>
      </c>
      <c r="L69" s="6" t="s">
        <v>457</v>
      </c>
      <c r="M69" s="6">
        <v>7.5452207E7</v>
      </c>
      <c r="N69" s="6" t="s">
        <v>61</v>
      </c>
      <c r="O69" s="6" t="s">
        <v>32</v>
      </c>
      <c r="P69" s="7" t="s">
        <v>458</v>
      </c>
      <c r="Q69" s="5">
        <f t="shared" si="5"/>
        <v>2</v>
      </c>
      <c r="R69" s="5">
        <f t="shared" si="6"/>
        <v>1</v>
      </c>
      <c r="S69" s="6" t="s">
        <v>64</v>
      </c>
      <c r="T69" s="8" t="s">
        <v>35</v>
      </c>
      <c r="U69" s="6" t="s">
        <v>47</v>
      </c>
      <c r="V69" s="5" t="s">
        <v>48</v>
      </c>
      <c r="W69" s="9" t="s">
        <v>38</v>
      </c>
      <c r="X69" s="5" t="s">
        <v>38</v>
      </c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8.0" hidden="1" customHeight="1">
      <c r="A70" s="11">
        <v>70.0</v>
      </c>
      <c r="B70" s="12" t="s">
        <v>459</v>
      </c>
      <c r="C70" s="13" t="s">
        <v>460</v>
      </c>
      <c r="D70" s="14" t="s">
        <v>26</v>
      </c>
      <c r="E70" s="16" t="s">
        <v>461</v>
      </c>
      <c r="F70" s="13">
        <f t="shared" si="1"/>
        <v>40</v>
      </c>
      <c r="G70" s="13">
        <f t="shared" si="2"/>
        <v>7</v>
      </c>
      <c r="H70" s="13">
        <f t="shared" si="3"/>
        <v>8</v>
      </c>
      <c r="I70" s="14" t="str">
        <f t="shared" si="4"/>
        <v>agosto</v>
      </c>
      <c r="J70" s="14" t="s">
        <v>462</v>
      </c>
      <c r="K70" s="14" t="s">
        <v>297</v>
      </c>
      <c r="L70" s="14" t="s">
        <v>463</v>
      </c>
      <c r="M70" s="14">
        <v>7.9874167E7</v>
      </c>
      <c r="N70" s="14" t="s">
        <v>83</v>
      </c>
      <c r="O70" s="14" t="s">
        <v>32</v>
      </c>
      <c r="P70" s="16" t="s">
        <v>464</v>
      </c>
      <c r="Q70" s="13">
        <f t="shared" si="5"/>
        <v>8</v>
      </c>
      <c r="R70" s="13">
        <f t="shared" si="6"/>
        <v>9</v>
      </c>
      <c r="S70" s="14" t="s">
        <v>465</v>
      </c>
      <c r="T70" s="8" t="s">
        <v>35</v>
      </c>
      <c r="U70" s="14" t="s">
        <v>36</v>
      </c>
      <c r="V70" s="13" t="s">
        <v>37</v>
      </c>
      <c r="W70" s="17"/>
      <c r="X70" s="13" t="s">
        <v>38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ht="18.0" hidden="1" customHeight="1">
      <c r="A71" s="3">
        <v>71.0</v>
      </c>
      <c r="B71" s="4" t="s">
        <v>466</v>
      </c>
      <c r="C71" s="5" t="s">
        <v>467</v>
      </c>
      <c r="D71" s="6" t="s">
        <v>26</v>
      </c>
      <c r="E71" s="7" t="s">
        <v>468</v>
      </c>
      <c r="F71" s="5">
        <f t="shared" si="1"/>
        <v>50</v>
      </c>
      <c r="G71" s="5">
        <f t="shared" si="2"/>
        <v>5</v>
      </c>
      <c r="H71" s="5">
        <f t="shared" si="3"/>
        <v>12</v>
      </c>
      <c r="I71" s="6" t="str">
        <f t="shared" si="4"/>
        <v>diciembre</v>
      </c>
      <c r="J71" s="6" t="s">
        <v>469</v>
      </c>
      <c r="K71" s="6" t="s">
        <v>131</v>
      </c>
      <c r="L71" s="6" t="s">
        <v>470</v>
      </c>
      <c r="M71" s="6">
        <v>9.81828477E8</v>
      </c>
      <c r="N71" s="6" t="s">
        <v>125</v>
      </c>
      <c r="O71" s="6" t="s">
        <v>32</v>
      </c>
      <c r="P71" s="7" t="s">
        <v>471</v>
      </c>
      <c r="Q71" s="5">
        <f t="shared" si="5"/>
        <v>20</v>
      </c>
      <c r="R71" s="5">
        <f t="shared" si="6"/>
        <v>7</v>
      </c>
      <c r="S71" s="6" t="s">
        <v>292</v>
      </c>
      <c r="T71" s="8" t="s">
        <v>35</v>
      </c>
      <c r="U71" s="6" t="s">
        <v>36</v>
      </c>
      <c r="V71" s="5" t="s">
        <v>37</v>
      </c>
      <c r="W71" s="10"/>
      <c r="X71" s="5" t="s">
        <v>38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8.0" hidden="1" customHeight="1">
      <c r="A72" s="11">
        <v>72.0</v>
      </c>
      <c r="B72" s="12" t="s">
        <v>472</v>
      </c>
      <c r="C72" s="13" t="s">
        <v>473</v>
      </c>
      <c r="D72" s="14" t="s">
        <v>26</v>
      </c>
      <c r="E72" s="16" t="s">
        <v>474</v>
      </c>
      <c r="F72" s="13">
        <f t="shared" si="1"/>
        <v>27</v>
      </c>
      <c r="G72" s="13">
        <f t="shared" si="2"/>
        <v>2</v>
      </c>
      <c r="H72" s="13">
        <f t="shared" si="3"/>
        <v>9</v>
      </c>
      <c r="I72" s="14" t="str">
        <f t="shared" si="4"/>
        <v>septiembre</v>
      </c>
      <c r="J72" s="14" t="s">
        <v>475</v>
      </c>
      <c r="K72" s="14" t="s">
        <v>89</v>
      </c>
      <c r="L72" s="14" t="s">
        <v>476</v>
      </c>
      <c r="M72" s="14">
        <v>8.8959486E7</v>
      </c>
      <c r="N72" s="14" t="s">
        <v>91</v>
      </c>
      <c r="O72" s="14" t="s">
        <v>32</v>
      </c>
      <c r="P72" s="16" t="s">
        <v>477</v>
      </c>
      <c r="Q72" s="13">
        <f t="shared" si="5"/>
        <v>0</v>
      </c>
      <c r="R72" s="13">
        <f t="shared" si="6"/>
        <v>10</v>
      </c>
      <c r="S72" s="14" t="s">
        <v>265</v>
      </c>
      <c r="T72" s="8" t="s">
        <v>35</v>
      </c>
      <c r="U72" s="14" t="s">
        <v>36</v>
      </c>
      <c r="V72" s="13" t="s">
        <v>37</v>
      </c>
      <c r="W72" s="9" t="s">
        <v>38</v>
      </c>
      <c r="X72" s="13" t="s">
        <v>38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ht="18.0" hidden="1" customHeight="1">
      <c r="A73" s="3">
        <v>73.0</v>
      </c>
      <c r="B73" s="4" t="s">
        <v>478</v>
      </c>
      <c r="C73" s="5" t="s">
        <v>479</v>
      </c>
      <c r="D73" s="6" t="s">
        <v>26</v>
      </c>
      <c r="E73" s="7" t="s">
        <v>480</v>
      </c>
      <c r="F73" s="5">
        <f t="shared" si="1"/>
        <v>62</v>
      </c>
      <c r="G73" s="5">
        <f t="shared" si="2"/>
        <v>24</v>
      </c>
      <c r="H73" s="5">
        <f t="shared" si="3"/>
        <v>3</v>
      </c>
      <c r="I73" s="6" t="str">
        <f t="shared" si="4"/>
        <v>marzo</v>
      </c>
      <c r="J73" s="6" t="s">
        <v>481</v>
      </c>
      <c r="K73" s="6" t="s">
        <v>29</v>
      </c>
      <c r="L73" s="6" t="s">
        <v>482</v>
      </c>
      <c r="M73" s="6">
        <v>9.63997283E8</v>
      </c>
      <c r="N73" s="6" t="s">
        <v>70</v>
      </c>
      <c r="O73" s="6" t="s">
        <v>32</v>
      </c>
      <c r="P73" s="7" t="s">
        <v>483</v>
      </c>
      <c r="Q73" s="5">
        <f t="shared" si="5"/>
        <v>21</v>
      </c>
      <c r="R73" s="5">
        <f t="shared" si="6"/>
        <v>6</v>
      </c>
      <c r="S73" s="6" t="s">
        <v>64</v>
      </c>
      <c r="T73" s="8" t="s">
        <v>35</v>
      </c>
      <c r="U73" s="6" t="s">
        <v>36</v>
      </c>
      <c r="V73" s="5" t="s">
        <v>37</v>
      </c>
      <c r="W73" s="9" t="s">
        <v>38</v>
      </c>
      <c r="X73" s="5" t="s">
        <v>38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8.0" hidden="1" customHeight="1">
      <c r="A74" s="11">
        <v>74.0</v>
      </c>
      <c r="B74" s="12" t="s">
        <v>484</v>
      </c>
      <c r="C74" s="13" t="s">
        <v>485</v>
      </c>
      <c r="D74" s="14" t="s">
        <v>26</v>
      </c>
      <c r="E74" s="16" t="s">
        <v>486</v>
      </c>
      <c r="F74" s="13">
        <f t="shared" si="1"/>
        <v>29</v>
      </c>
      <c r="G74" s="13">
        <f t="shared" si="2"/>
        <v>10</v>
      </c>
      <c r="H74" s="13">
        <f t="shared" si="3"/>
        <v>12</v>
      </c>
      <c r="I74" s="14" t="str">
        <f t="shared" si="4"/>
        <v>diciembre</v>
      </c>
      <c r="J74" s="14" t="s">
        <v>487</v>
      </c>
      <c r="K74" s="14" t="s">
        <v>89</v>
      </c>
      <c r="L74" s="14" t="s">
        <v>488</v>
      </c>
      <c r="M74" s="14">
        <v>9.67773503E8</v>
      </c>
      <c r="N74" s="14" t="s">
        <v>91</v>
      </c>
      <c r="O74" s="14" t="s">
        <v>32</v>
      </c>
      <c r="P74" s="16" t="s">
        <v>489</v>
      </c>
      <c r="Q74" s="13">
        <f t="shared" si="5"/>
        <v>4</v>
      </c>
      <c r="R74" s="13">
        <f t="shared" si="6"/>
        <v>7</v>
      </c>
      <c r="S74" s="14" t="s">
        <v>225</v>
      </c>
      <c r="T74" s="8" t="s">
        <v>35</v>
      </c>
      <c r="U74" s="14" t="s">
        <v>47</v>
      </c>
      <c r="V74" s="13" t="s">
        <v>48</v>
      </c>
      <c r="W74" s="9" t="s">
        <v>38</v>
      </c>
      <c r="X74" s="13" t="s">
        <v>38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ht="18.0" hidden="1" customHeight="1">
      <c r="A75" s="3">
        <v>75.0</v>
      </c>
      <c r="B75" s="4" t="s">
        <v>490</v>
      </c>
      <c r="C75" s="5" t="s">
        <v>491</v>
      </c>
      <c r="D75" s="6" t="s">
        <v>26</v>
      </c>
      <c r="E75" s="7" t="s">
        <v>492</v>
      </c>
      <c r="F75" s="5">
        <f t="shared" si="1"/>
        <v>53</v>
      </c>
      <c r="G75" s="5">
        <f t="shared" si="2"/>
        <v>25</v>
      </c>
      <c r="H75" s="5">
        <f t="shared" si="3"/>
        <v>8</v>
      </c>
      <c r="I75" s="6" t="str">
        <f t="shared" si="4"/>
        <v>agosto</v>
      </c>
      <c r="J75" s="6" t="s">
        <v>493</v>
      </c>
      <c r="K75" s="6" t="s">
        <v>29</v>
      </c>
      <c r="L75" s="6" t="s">
        <v>494</v>
      </c>
      <c r="M75" s="6">
        <v>8.8959213E7</v>
      </c>
      <c r="N75" s="6" t="s">
        <v>91</v>
      </c>
      <c r="O75" s="6" t="s">
        <v>32</v>
      </c>
      <c r="P75" s="7" t="s">
        <v>495</v>
      </c>
      <c r="Q75" s="5">
        <f t="shared" si="5"/>
        <v>1</v>
      </c>
      <c r="R75" s="5">
        <f t="shared" si="6"/>
        <v>4</v>
      </c>
      <c r="S75" s="6" t="s">
        <v>265</v>
      </c>
      <c r="T75" s="8" t="s">
        <v>35</v>
      </c>
      <c r="U75" s="6" t="s">
        <v>36</v>
      </c>
      <c r="V75" s="5" t="s">
        <v>37</v>
      </c>
      <c r="W75" s="9" t="s">
        <v>38</v>
      </c>
      <c r="X75" s="5" t="s">
        <v>38</v>
      </c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8.0" hidden="1" customHeight="1">
      <c r="A76" s="11">
        <v>76.0</v>
      </c>
      <c r="B76" s="12" t="s">
        <v>496</v>
      </c>
      <c r="C76" s="13" t="s">
        <v>497</v>
      </c>
      <c r="D76" s="14" t="s">
        <v>26</v>
      </c>
      <c r="E76" s="18">
        <v>24176.0</v>
      </c>
      <c r="F76" s="13">
        <f t="shared" si="1"/>
        <v>60</v>
      </c>
      <c r="G76" s="13">
        <f t="shared" si="2"/>
        <v>30</v>
      </c>
      <c r="H76" s="13">
        <f t="shared" si="3"/>
        <v>6</v>
      </c>
      <c r="I76" s="14" t="str">
        <f t="shared" si="4"/>
        <v>junio</v>
      </c>
      <c r="J76" s="14" t="s">
        <v>498</v>
      </c>
      <c r="K76" s="14" t="s">
        <v>123</v>
      </c>
      <c r="L76" s="14" t="s">
        <v>499</v>
      </c>
      <c r="M76" s="14">
        <v>9.4422677E8</v>
      </c>
      <c r="N76" s="14" t="s">
        <v>61</v>
      </c>
      <c r="O76" s="14" t="s">
        <v>32</v>
      </c>
      <c r="P76" s="16" t="s">
        <v>500</v>
      </c>
      <c r="Q76" s="13">
        <f t="shared" si="5"/>
        <v>30</v>
      </c>
      <c r="R76" s="13">
        <f t="shared" si="6"/>
        <v>6</v>
      </c>
      <c r="S76" s="14" t="s">
        <v>225</v>
      </c>
      <c r="T76" s="8" t="s">
        <v>35</v>
      </c>
      <c r="U76" s="14" t="s">
        <v>47</v>
      </c>
      <c r="V76" s="13" t="s">
        <v>48</v>
      </c>
      <c r="W76" s="9" t="s">
        <v>38</v>
      </c>
      <c r="X76" s="13" t="s">
        <v>38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ht="18.0" hidden="1" customHeight="1">
      <c r="A77" s="3">
        <v>77.0</v>
      </c>
      <c r="B77" s="4" t="s">
        <v>501</v>
      </c>
      <c r="C77" s="5" t="s">
        <v>502</v>
      </c>
      <c r="D77" s="6" t="s">
        <v>26</v>
      </c>
      <c r="E77" s="20">
        <v>35450.0</v>
      </c>
      <c r="F77" s="5">
        <f t="shared" si="1"/>
        <v>60</v>
      </c>
      <c r="G77" s="5">
        <f t="shared" si="2"/>
        <v>10</v>
      </c>
      <c r="H77" s="5">
        <f t="shared" si="3"/>
        <v>3</v>
      </c>
      <c r="I77" s="6" t="str">
        <f t="shared" si="4"/>
        <v>marzo</v>
      </c>
      <c r="J77" s="6" t="s">
        <v>503</v>
      </c>
      <c r="K77" s="6" t="s">
        <v>504</v>
      </c>
      <c r="L77" s="6" t="s">
        <v>505</v>
      </c>
      <c r="M77" s="6">
        <v>9.37375799E8</v>
      </c>
      <c r="N77" s="6" t="s">
        <v>125</v>
      </c>
      <c r="O77" s="6" t="s">
        <v>32</v>
      </c>
      <c r="P77" s="7" t="s">
        <v>506</v>
      </c>
      <c r="Q77" s="5">
        <f t="shared" si="5"/>
        <v>2</v>
      </c>
      <c r="R77" s="5">
        <f t="shared" si="6"/>
        <v>2</v>
      </c>
      <c r="S77" s="6" t="s">
        <v>64</v>
      </c>
      <c r="T77" s="8" t="s">
        <v>35</v>
      </c>
      <c r="U77" s="6" t="s">
        <v>47</v>
      </c>
      <c r="V77" s="5" t="s">
        <v>48</v>
      </c>
      <c r="W77" s="9" t="s">
        <v>38</v>
      </c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8.0" hidden="1" customHeight="1">
      <c r="A78" s="11">
        <v>78.0</v>
      </c>
      <c r="B78" s="12" t="s">
        <v>507</v>
      </c>
      <c r="C78" s="13" t="s">
        <v>508</v>
      </c>
      <c r="D78" s="14" t="s">
        <v>26</v>
      </c>
      <c r="E78" s="18">
        <v>36099.0</v>
      </c>
      <c r="F78" s="13">
        <f t="shared" si="1"/>
        <v>29</v>
      </c>
      <c r="G78" s="13">
        <f t="shared" si="2"/>
        <v>20</v>
      </c>
      <c r="H78" s="13">
        <f t="shared" si="3"/>
        <v>1</v>
      </c>
      <c r="I78" s="14" t="str">
        <f t="shared" si="4"/>
        <v>enero</v>
      </c>
      <c r="J78" s="14" t="s">
        <v>509</v>
      </c>
      <c r="K78" s="14" t="s">
        <v>131</v>
      </c>
      <c r="L78" s="14" t="s">
        <v>510</v>
      </c>
      <c r="M78" s="14">
        <v>9.28336352E8</v>
      </c>
      <c r="N78" s="14" t="s">
        <v>125</v>
      </c>
      <c r="O78" s="14" t="s">
        <v>32</v>
      </c>
      <c r="P78" s="16" t="s">
        <v>126</v>
      </c>
      <c r="Q78" s="13">
        <f t="shared" si="5"/>
        <v>2</v>
      </c>
      <c r="R78" s="13">
        <f t="shared" si="6"/>
        <v>1</v>
      </c>
      <c r="S78" s="14" t="s">
        <v>46</v>
      </c>
      <c r="T78" s="8" t="s">
        <v>35</v>
      </c>
      <c r="U78" s="14" t="s">
        <v>47</v>
      </c>
      <c r="V78" s="13" t="s">
        <v>48</v>
      </c>
      <c r="W78" s="9" t="s">
        <v>511</v>
      </c>
      <c r="X78" s="13" t="s">
        <v>38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ht="18.0" hidden="1" customHeight="1">
      <c r="A79" s="3">
        <v>79.0</v>
      </c>
      <c r="B79" s="4" t="s">
        <v>512</v>
      </c>
      <c r="C79" s="5" t="s">
        <v>513</v>
      </c>
      <c r="D79" s="6" t="s">
        <v>26</v>
      </c>
      <c r="E79" s="20">
        <v>33897.0</v>
      </c>
      <c r="F79" s="5">
        <f t="shared" si="1"/>
        <v>27</v>
      </c>
      <c r="G79" s="5">
        <f t="shared" si="2"/>
        <v>31</v>
      </c>
      <c r="H79" s="5">
        <f t="shared" si="3"/>
        <v>10</v>
      </c>
      <c r="I79" s="6" t="str">
        <f t="shared" si="4"/>
        <v>octubre</v>
      </c>
      <c r="J79" s="6" t="s">
        <v>514</v>
      </c>
      <c r="K79" s="6" t="s">
        <v>131</v>
      </c>
      <c r="L79" s="6" t="s">
        <v>515</v>
      </c>
      <c r="M79" s="6">
        <v>9.44034869E8</v>
      </c>
      <c r="N79" s="6" t="s">
        <v>91</v>
      </c>
      <c r="O79" s="6" t="s">
        <v>100</v>
      </c>
      <c r="P79" s="7" t="s">
        <v>126</v>
      </c>
      <c r="Q79" s="5">
        <f t="shared" si="5"/>
        <v>1</v>
      </c>
      <c r="R79" s="5">
        <f t="shared" si="6"/>
        <v>8</v>
      </c>
      <c r="S79" s="6" t="s">
        <v>250</v>
      </c>
      <c r="T79" s="5">
        <v>2.0</v>
      </c>
      <c r="U79" s="6" t="s">
        <v>251</v>
      </c>
      <c r="V79" s="5" t="s">
        <v>48</v>
      </c>
      <c r="W79" s="10"/>
      <c r="X79" s="5" t="s">
        <v>38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8.0" hidden="1" customHeight="1">
      <c r="A80" s="11">
        <v>80.0</v>
      </c>
      <c r="B80" s="12" t="s">
        <v>516</v>
      </c>
      <c r="C80" s="13" t="s">
        <v>517</v>
      </c>
      <c r="D80" s="14" t="s">
        <v>26</v>
      </c>
      <c r="E80" s="16" t="s">
        <v>518</v>
      </c>
      <c r="F80" s="13">
        <f t="shared" si="1"/>
        <v>33</v>
      </c>
      <c r="G80" s="13">
        <f t="shared" si="2"/>
        <v>20</v>
      </c>
      <c r="H80" s="13">
        <f t="shared" si="3"/>
        <v>10</v>
      </c>
      <c r="I80" s="14" t="str">
        <f t="shared" si="4"/>
        <v>octubre</v>
      </c>
      <c r="J80" s="14" t="s">
        <v>519</v>
      </c>
      <c r="K80" s="14" t="s">
        <v>53</v>
      </c>
      <c r="L80" s="14" t="s">
        <v>520</v>
      </c>
      <c r="M80" s="14">
        <v>9.0552436E7</v>
      </c>
      <c r="N80" s="14" t="s">
        <v>91</v>
      </c>
      <c r="O80" s="14" t="s">
        <v>32</v>
      </c>
      <c r="P80" s="16" t="s">
        <v>521</v>
      </c>
      <c r="Q80" s="13">
        <f t="shared" si="5"/>
        <v>1</v>
      </c>
      <c r="R80" s="13">
        <f t="shared" si="6"/>
        <v>8</v>
      </c>
      <c r="S80" s="14" t="s">
        <v>46</v>
      </c>
      <c r="T80" s="8" t="s">
        <v>35</v>
      </c>
      <c r="U80" s="14" t="s">
        <v>36</v>
      </c>
      <c r="V80" s="13" t="s">
        <v>37</v>
      </c>
      <c r="W80" s="9" t="s">
        <v>38</v>
      </c>
      <c r="X80" s="13" t="s">
        <v>38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ht="18.0" hidden="1" customHeight="1">
      <c r="A81" s="3">
        <v>81.0</v>
      </c>
      <c r="B81" s="4" t="s">
        <v>522</v>
      </c>
      <c r="C81" s="5" t="s">
        <v>523</v>
      </c>
      <c r="D81" s="6" t="s">
        <v>26</v>
      </c>
      <c r="E81" s="7" t="s">
        <v>524</v>
      </c>
      <c r="F81" s="5">
        <f t="shared" si="1"/>
        <v>38</v>
      </c>
      <c r="G81" s="5">
        <f t="shared" si="2"/>
        <v>17</v>
      </c>
      <c r="H81" s="5">
        <f t="shared" si="3"/>
        <v>5</v>
      </c>
      <c r="I81" s="6" t="str">
        <f t="shared" si="4"/>
        <v>mayo</v>
      </c>
      <c r="J81" s="6" t="s">
        <v>525</v>
      </c>
      <c r="K81" s="6" t="s">
        <v>68</v>
      </c>
      <c r="L81" s="6" t="s">
        <v>526</v>
      </c>
      <c r="M81" s="6">
        <v>9.3319555E7</v>
      </c>
      <c r="N81" s="6" t="s">
        <v>91</v>
      </c>
      <c r="O81" s="6" t="s">
        <v>32</v>
      </c>
      <c r="P81" s="7" t="s">
        <v>527</v>
      </c>
      <c r="Q81" s="5">
        <f t="shared" si="5"/>
        <v>7</v>
      </c>
      <c r="R81" s="5">
        <f t="shared" si="6"/>
        <v>0</v>
      </c>
      <c r="S81" s="6" t="s">
        <v>46</v>
      </c>
      <c r="T81" s="8" t="s">
        <v>35</v>
      </c>
      <c r="U81" s="6" t="s">
        <v>36</v>
      </c>
      <c r="V81" s="5" t="s">
        <v>37</v>
      </c>
      <c r="W81" s="9" t="s">
        <v>38</v>
      </c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8.0" hidden="1" customHeight="1">
      <c r="A82" s="11">
        <v>82.0</v>
      </c>
      <c r="B82" s="12" t="s">
        <v>528</v>
      </c>
      <c r="C82" s="13" t="s">
        <v>529</v>
      </c>
      <c r="D82" s="14" t="s">
        <v>26</v>
      </c>
      <c r="E82" s="18">
        <v>25277.0</v>
      </c>
      <c r="F82" s="13">
        <f t="shared" si="1"/>
        <v>56</v>
      </c>
      <c r="G82" s="13">
        <f t="shared" si="2"/>
        <v>22</v>
      </c>
      <c r="H82" s="13">
        <f t="shared" si="3"/>
        <v>11</v>
      </c>
      <c r="I82" s="14" t="str">
        <f t="shared" si="4"/>
        <v>noviembre</v>
      </c>
      <c r="J82" s="14" t="s">
        <v>530</v>
      </c>
      <c r="K82" s="14" t="s">
        <v>29</v>
      </c>
      <c r="L82" s="14" t="s">
        <v>531</v>
      </c>
      <c r="M82" s="14">
        <v>9.95715247E8</v>
      </c>
      <c r="N82" s="14" t="s">
        <v>91</v>
      </c>
      <c r="O82" s="14" t="s">
        <v>32</v>
      </c>
      <c r="P82" s="16" t="s">
        <v>532</v>
      </c>
      <c r="Q82" s="13">
        <f t="shared" si="5"/>
        <v>24</v>
      </c>
      <c r="R82" s="13">
        <f t="shared" si="6"/>
        <v>2</v>
      </c>
      <c r="S82" s="14" t="s">
        <v>360</v>
      </c>
      <c r="T82" s="8" t="s">
        <v>35</v>
      </c>
      <c r="U82" s="14" t="s">
        <v>47</v>
      </c>
      <c r="V82" s="13" t="s">
        <v>48</v>
      </c>
      <c r="W82" s="9" t="s">
        <v>38</v>
      </c>
      <c r="X82" s="13" t="s">
        <v>38</v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ht="18.0" hidden="1" customHeight="1">
      <c r="A83" s="3">
        <v>84.0</v>
      </c>
      <c r="B83" s="4" t="s">
        <v>533</v>
      </c>
      <c r="C83" s="5" t="s">
        <v>534</v>
      </c>
      <c r="D83" s="6" t="s">
        <v>26</v>
      </c>
      <c r="E83" s="7" t="s">
        <v>535</v>
      </c>
      <c r="F83" s="5">
        <f t="shared" si="1"/>
        <v>57</v>
      </c>
      <c r="G83" s="5">
        <f t="shared" si="2"/>
        <v>15</v>
      </c>
      <c r="H83" s="5">
        <f t="shared" si="3"/>
        <v>3</v>
      </c>
      <c r="I83" s="6" t="str">
        <f t="shared" si="4"/>
        <v>marzo</v>
      </c>
      <c r="J83" s="6" t="s">
        <v>536</v>
      </c>
      <c r="K83" s="6" t="s">
        <v>89</v>
      </c>
      <c r="L83" s="23" t="s">
        <v>537</v>
      </c>
      <c r="M83" s="6">
        <v>8.9204988E7</v>
      </c>
      <c r="N83" s="6" t="s">
        <v>91</v>
      </c>
      <c r="O83" s="6" t="s">
        <v>151</v>
      </c>
      <c r="P83" s="7" t="s">
        <v>538</v>
      </c>
      <c r="Q83" s="5">
        <f t="shared" si="5"/>
        <v>2</v>
      </c>
      <c r="R83" s="5">
        <f t="shared" si="6"/>
        <v>1</v>
      </c>
      <c r="S83" s="6" t="s">
        <v>292</v>
      </c>
      <c r="T83" s="8" t="s">
        <v>35</v>
      </c>
      <c r="U83" s="6" t="s">
        <v>36</v>
      </c>
      <c r="V83" s="5" t="s">
        <v>37</v>
      </c>
      <c r="W83" s="10"/>
      <c r="X83" s="5" t="s">
        <v>38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8.0" hidden="1" customHeight="1">
      <c r="A84" s="11">
        <v>86.0</v>
      </c>
      <c r="B84" s="12" t="s">
        <v>539</v>
      </c>
      <c r="C84" s="13" t="s">
        <v>540</v>
      </c>
      <c r="D84" s="14" t="s">
        <v>26</v>
      </c>
      <c r="E84" s="16" t="s">
        <v>541</v>
      </c>
      <c r="F84" s="13">
        <f t="shared" si="1"/>
        <v>67</v>
      </c>
      <c r="G84" s="13">
        <f t="shared" si="2"/>
        <v>15</v>
      </c>
      <c r="H84" s="13">
        <f t="shared" si="3"/>
        <v>4</v>
      </c>
      <c r="I84" s="14" t="str">
        <f t="shared" si="4"/>
        <v>abril</v>
      </c>
      <c r="J84" s="14" t="s">
        <v>542</v>
      </c>
      <c r="K84" s="14" t="s">
        <v>29</v>
      </c>
      <c r="L84" s="14" t="s">
        <v>543</v>
      </c>
      <c r="M84" s="14">
        <v>8.7998531E7</v>
      </c>
      <c r="N84" s="14" t="s">
        <v>31</v>
      </c>
      <c r="O84" s="14" t="s">
        <v>32</v>
      </c>
      <c r="P84" s="16" t="s">
        <v>544</v>
      </c>
      <c r="Q84" s="13">
        <f t="shared" si="5"/>
        <v>20</v>
      </c>
      <c r="R84" s="13">
        <f t="shared" si="6"/>
        <v>6</v>
      </c>
      <c r="S84" s="14" t="s">
        <v>292</v>
      </c>
      <c r="T84" s="8" t="s">
        <v>35</v>
      </c>
      <c r="U84" s="14" t="s">
        <v>36</v>
      </c>
      <c r="V84" s="13" t="s">
        <v>37</v>
      </c>
      <c r="W84" s="17"/>
      <c r="X84" s="13" t="s">
        <v>38</v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ht="18.0" hidden="1" customHeight="1">
      <c r="A85" s="3">
        <v>87.0</v>
      </c>
      <c r="B85" s="4" t="s">
        <v>545</v>
      </c>
      <c r="C85" s="5" t="s">
        <v>546</v>
      </c>
      <c r="D85" s="6" t="s">
        <v>26</v>
      </c>
      <c r="E85" s="7" t="s">
        <v>547</v>
      </c>
      <c r="F85" s="5">
        <f t="shared" si="1"/>
        <v>62</v>
      </c>
      <c r="G85" s="5">
        <f t="shared" si="2"/>
        <v>22</v>
      </c>
      <c r="H85" s="5">
        <f t="shared" si="3"/>
        <v>3</v>
      </c>
      <c r="I85" s="6" t="str">
        <f t="shared" si="4"/>
        <v>marzo</v>
      </c>
      <c r="J85" s="6" t="s">
        <v>370</v>
      </c>
      <c r="K85" s="6" t="s">
        <v>53</v>
      </c>
      <c r="L85" s="6" t="s">
        <v>548</v>
      </c>
      <c r="M85" s="6">
        <v>6.8473667E7</v>
      </c>
      <c r="N85" s="6" t="s">
        <v>83</v>
      </c>
      <c r="O85" s="6" t="s">
        <v>32</v>
      </c>
      <c r="P85" s="7" t="s">
        <v>549</v>
      </c>
      <c r="Q85" s="5">
        <f t="shared" si="5"/>
        <v>12</v>
      </c>
      <c r="R85" s="5">
        <f t="shared" si="6"/>
        <v>9</v>
      </c>
      <c r="S85" s="6" t="s">
        <v>550</v>
      </c>
      <c r="T85" s="8" t="s">
        <v>35</v>
      </c>
      <c r="U85" s="6" t="s">
        <v>36</v>
      </c>
      <c r="V85" s="5" t="s">
        <v>37</v>
      </c>
      <c r="W85" s="10"/>
      <c r="X85" s="5" t="s">
        <v>38</v>
      </c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8.0" hidden="1" customHeight="1">
      <c r="A86" s="11">
        <v>88.0</v>
      </c>
      <c r="B86" s="12" t="s">
        <v>551</v>
      </c>
      <c r="C86" s="13" t="s">
        <v>552</v>
      </c>
      <c r="D86" s="14" t="s">
        <v>26</v>
      </c>
      <c r="E86" s="16" t="s">
        <v>553</v>
      </c>
      <c r="F86" s="13">
        <f t="shared" si="1"/>
        <v>58</v>
      </c>
      <c r="G86" s="13">
        <f t="shared" si="2"/>
        <v>21</v>
      </c>
      <c r="H86" s="13">
        <f t="shared" si="3"/>
        <v>2</v>
      </c>
      <c r="I86" s="14" t="str">
        <f t="shared" si="4"/>
        <v>febrero</v>
      </c>
      <c r="J86" s="14" t="s">
        <v>554</v>
      </c>
      <c r="K86" s="14" t="s">
        <v>123</v>
      </c>
      <c r="L86" s="14" t="s">
        <v>555</v>
      </c>
      <c r="M86" s="14">
        <v>9.979603E8</v>
      </c>
      <c r="N86" s="14" t="s">
        <v>61</v>
      </c>
      <c r="O86" s="14" t="s">
        <v>32</v>
      </c>
      <c r="P86" s="16" t="s">
        <v>556</v>
      </c>
      <c r="Q86" s="13">
        <f t="shared" si="5"/>
        <v>19</v>
      </c>
      <c r="R86" s="13">
        <f t="shared" si="6"/>
        <v>10</v>
      </c>
      <c r="S86" s="14" t="s">
        <v>46</v>
      </c>
      <c r="T86" s="8" t="s">
        <v>35</v>
      </c>
      <c r="U86" s="14" t="s">
        <v>36</v>
      </c>
      <c r="V86" s="13" t="s">
        <v>37</v>
      </c>
      <c r="W86" s="9" t="s">
        <v>38</v>
      </c>
      <c r="X86" s="13" t="s">
        <v>38</v>
      </c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ht="18.0" hidden="1" customHeight="1">
      <c r="A87" s="3">
        <v>89.0</v>
      </c>
      <c r="B87" s="4" t="s">
        <v>557</v>
      </c>
      <c r="C87" s="5" t="s">
        <v>558</v>
      </c>
      <c r="D87" s="6" t="s">
        <v>26</v>
      </c>
      <c r="E87" s="7" t="s">
        <v>559</v>
      </c>
      <c r="F87" s="5">
        <f t="shared" si="1"/>
        <v>45</v>
      </c>
      <c r="G87" s="5">
        <f t="shared" si="2"/>
        <v>1</v>
      </c>
      <c r="H87" s="5">
        <f t="shared" si="3"/>
        <v>5</v>
      </c>
      <c r="I87" s="6" t="str">
        <f t="shared" si="4"/>
        <v>mayo</v>
      </c>
      <c r="J87" s="6" t="s">
        <v>560</v>
      </c>
      <c r="K87" s="6" t="s">
        <v>43</v>
      </c>
      <c r="L87" s="6" t="s">
        <v>561</v>
      </c>
      <c r="M87" s="6">
        <v>3.3720664E7</v>
      </c>
      <c r="N87" s="6" t="s">
        <v>61</v>
      </c>
      <c r="O87" s="6" t="s">
        <v>32</v>
      </c>
      <c r="P87" s="7" t="s">
        <v>562</v>
      </c>
      <c r="Q87" s="5">
        <f t="shared" si="5"/>
        <v>4</v>
      </c>
      <c r="R87" s="5">
        <f t="shared" si="6"/>
        <v>5</v>
      </c>
      <c r="S87" s="6" t="s">
        <v>64</v>
      </c>
      <c r="T87" s="8" t="s">
        <v>35</v>
      </c>
      <c r="U87" s="6" t="s">
        <v>47</v>
      </c>
      <c r="V87" s="5" t="s">
        <v>48</v>
      </c>
      <c r="W87" s="24" t="s">
        <v>285</v>
      </c>
      <c r="X87" s="5" t="s">
        <v>38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8.0" hidden="1" customHeight="1">
      <c r="A88" s="11">
        <v>90.0</v>
      </c>
      <c r="B88" s="12" t="s">
        <v>563</v>
      </c>
      <c r="C88" s="13" t="s">
        <v>564</v>
      </c>
      <c r="D88" s="14" t="s">
        <v>26</v>
      </c>
      <c r="E88" s="18">
        <v>37181.0</v>
      </c>
      <c r="F88" s="13">
        <f t="shared" si="1"/>
        <v>38</v>
      </c>
      <c r="G88" s="13">
        <f t="shared" si="2"/>
        <v>17</v>
      </c>
      <c r="H88" s="13">
        <f t="shared" si="3"/>
        <v>3</v>
      </c>
      <c r="I88" s="14" t="str">
        <f t="shared" si="4"/>
        <v>marzo</v>
      </c>
      <c r="J88" s="14" t="s">
        <v>565</v>
      </c>
      <c r="K88" s="14" t="s">
        <v>29</v>
      </c>
      <c r="L88" s="14" t="s">
        <v>566</v>
      </c>
      <c r="M88" s="14">
        <v>9.30023766E8</v>
      </c>
      <c r="N88" s="14" t="s">
        <v>125</v>
      </c>
      <c r="O88" s="14" t="s">
        <v>32</v>
      </c>
      <c r="P88" s="16" t="s">
        <v>506</v>
      </c>
      <c r="Q88" s="13">
        <f t="shared" si="5"/>
        <v>8</v>
      </c>
      <c r="R88" s="13">
        <f t="shared" si="6"/>
        <v>7</v>
      </c>
      <c r="S88" s="14" t="s">
        <v>64</v>
      </c>
      <c r="T88" s="8" t="s">
        <v>35</v>
      </c>
      <c r="U88" s="14" t="s">
        <v>47</v>
      </c>
      <c r="V88" s="13" t="s">
        <v>48</v>
      </c>
      <c r="W88" s="9" t="s">
        <v>38</v>
      </c>
      <c r="X88" s="13" t="s">
        <v>38</v>
      </c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ht="18.0" hidden="1" customHeight="1">
      <c r="A89" s="3">
        <v>91.0</v>
      </c>
      <c r="B89" s="4" t="s">
        <v>567</v>
      </c>
      <c r="C89" s="5" t="s">
        <v>568</v>
      </c>
      <c r="D89" s="6" t="s">
        <v>26</v>
      </c>
      <c r="E89" s="7" t="s">
        <v>569</v>
      </c>
      <c r="F89" s="5">
        <f t="shared" si="1"/>
        <v>24</v>
      </c>
      <c r="G89" s="5">
        <f t="shared" si="2"/>
        <v>17</v>
      </c>
      <c r="H89" s="5">
        <f t="shared" si="3"/>
        <v>10</v>
      </c>
      <c r="I89" s="6" t="str">
        <f t="shared" si="4"/>
        <v>octubre</v>
      </c>
      <c r="J89" s="6" t="s">
        <v>570</v>
      </c>
      <c r="K89" s="6" t="s">
        <v>571</v>
      </c>
      <c r="L89" s="6" t="s">
        <v>572</v>
      </c>
      <c r="M89" s="6">
        <v>8.1543977E7</v>
      </c>
      <c r="N89" s="6" t="s">
        <v>31</v>
      </c>
      <c r="O89" s="6" t="s">
        <v>32</v>
      </c>
      <c r="P89" s="7" t="s">
        <v>573</v>
      </c>
      <c r="Q89" s="5">
        <f t="shared" si="5"/>
        <v>2</v>
      </c>
      <c r="R89" s="5">
        <f t="shared" si="6"/>
        <v>1</v>
      </c>
      <c r="S89" s="6" t="s">
        <v>46</v>
      </c>
      <c r="T89" s="8" t="s">
        <v>35</v>
      </c>
      <c r="U89" s="6" t="s">
        <v>47</v>
      </c>
      <c r="V89" s="5" t="s">
        <v>48</v>
      </c>
      <c r="W89" s="9" t="s">
        <v>38</v>
      </c>
      <c r="X89" s="5" t="s">
        <v>38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8.0" hidden="1" customHeight="1">
      <c r="A90" s="11">
        <v>92.0</v>
      </c>
      <c r="B90" s="12" t="s">
        <v>574</v>
      </c>
      <c r="C90" s="13" t="s">
        <v>575</v>
      </c>
      <c r="D90" s="14" t="s">
        <v>26</v>
      </c>
      <c r="E90" s="16" t="s">
        <v>576</v>
      </c>
      <c r="F90" s="13">
        <f t="shared" si="1"/>
        <v>36</v>
      </c>
      <c r="G90" s="13">
        <f t="shared" si="2"/>
        <v>26</v>
      </c>
      <c r="H90" s="13">
        <f t="shared" si="3"/>
        <v>2</v>
      </c>
      <c r="I90" s="14" t="str">
        <f t="shared" si="4"/>
        <v>febrero</v>
      </c>
      <c r="J90" s="14" t="s">
        <v>577</v>
      </c>
      <c r="K90" s="14" t="s">
        <v>29</v>
      </c>
      <c r="L90" s="14" t="s">
        <v>578</v>
      </c>
      <c r="M90" s="14">
        <v>8.2533255E7</v>
      </c>
      <c r="N90" s="14" t="s">
        <v>83</v>
      </c>
      <c r="O90" s="14" t="s">
        <v>32</v>
      </c>
      <c r="P90" s="16" t="s">
        <v>579</v>
      </c>
      <c r="Q90" s="13">
        <f t="shared" si="5"/>
        <v>10</v>
      </c>
      <c r="R90" s="13">
        <f t="shared" si="6"/>
        <v>4</v>
      </c>
      <c r="S90" s="14" t="s">
        <v>250</v>
      </c>
      <c r="T90" s="13">
        <v>2.0</v>
      </c>
      <c r="U90" s="14" t="s">
        <v>36</v>
      </c>
      <c r="V90" s="13" t="s">
        <v>37</v>
      </c>
      <c r="W90" s="17"/>
      <c r="X90" s="13" t="s">
        <v>38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ht="18.0" hidden="1" customHeight="1">
      <c r="A91" s="3">
        <v>93.0</v>
      </c>
      <c r="B91" s="4" t="s">
        <v>580</v>
      </c>
      <c r="C91" s="5" t="s">
        <v>581</v>
      </c>
      <c r="D91" s="6" t="s">
        <v>26</v>
      </c>
      <c r="E91" s="7" t="s">
        <v>582</v>
      </c>
      <c r="F91" s="5">
        <f t="shared" si="1"/>
        <v>36</v>
      </c>
      <c r="G91" s="5">
        <f t="shared" si="2"/>
        <v>2</v>
      </c>
      <c r="H91" s="5">
        <f t="shared" si="3"/>
        <v>1</v>
      </c>
      <c r="I91" s="6" t="str">
        <f t="shared" si="4"/>
        <v>enero</v>
      </c>
      <c r="J91" s="6" t="s">
        <v>583</v>
      </c>
      <c r="K91" s="6" t="s">
        <v>68</v>
      </c>
      <c r="L91" s="6" t="s">
        <v>584</v>
      </c>
      <c r="M91" s="6">
        <v>9.2365408E7</v>
      </c>
      <c r="N91" s="6" t="s">
        <v>249</v>
      </c>
      <c r="O91" s="6" t="s">
        <v>32</v>
      </c>
      <c r="P91" s="7" t="s">
        <v>585</v>
      </c>
      <c r="Q91" s="5">
        <f t="shared" si="5"/>
        <v>15</v>
      </c>
      <c r="R91" s="5">
        <f t="shared" si="6"/>
        <v>1</v>
      </c>
      <c r="S91" s="6" t="s">
        <v>46</v>
      </c>
      <c r="T91" s="8" t="s">
        <v>35</v>
      </c>
      <c r="U91" s="6" t="s">
        <v>47</v>
      </c>
      <c r="V91" s="5" t="s">
        <v>48</v>
      </c>
      <c r="W91" s="9" t="s">
        <v>38</v>
      </c>
      <c r="X91" s="5" t="s">
        <v>38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8.0" hidden="1" customHeight="1">
      <c r="A92" s="11">
        <v>94.0</v>
      </c>
      <c r="B92" s="12" t="s">
        <v>586</v>
      </c>
      <c r="C92" s="13" t="s">
        <v>587</v>
      </c>
      <c r="D92" s="14" t="s">
        <v>26</v>
      </c>
      <c r="E92" s="16" t="s">
        <v>588</v>
      </c>
      <c r="F92" s="13">
        <f t="shared" si="1"/>
        <v>54</v>
      </c>
      <c r="G92" s="13">
        <f t="shared" si="2"/>
        <v>4</v>
      </c>
      <c r="H92" s="13">
        <f t="shared" si="3"/>
        <v>2</v>
      </c>
      <c r="I92" s="14" t="str">
        <f t="shared" si="4"/>
        <v>febrero</v>
      </c>
      <c r="J92" s="14" t="s">
        <v>589</v>
      </c>
      <c r="K92" s="14" t="s">
        <v>29</v>
      </c>
      <c r="L92" s="14" t="s">
        <v>590</v>
      </c>
      <c r="M92" s="14">
        <v>9.2956453E7</v>
      </c>
      <c r="N92" s="14" t="s">
        <v>91</v>
      </c>
      <c r="O92" s="14" t="s">
        <v>32</v>
      </c>
      <c r="P92" s="16" t="s">
        <v>591</v>
      </c>
      <c r="Q92" s="13">
        <f t="shared" si="5"/>
        <v>9</v>
      </c>
      <c r="R92" s="13">
        <f t="shared" si="6"/>
        <v>9</v>
      </c>
      <c r="S92" s="14" t="s">
        <v>46</v>
      </c>
      <c r="T92" s="8" t="s">
        <v>35</v>
      </c>
      <c r="U92" s="14" t="s">
        <v>47</v>
      </c>
      <c r="V92" s="13" t="s">
        <v>48</v>
      </c>
      <c r="W92" s="9" t="s">
        <v>38</v>
      </c>
      <c r="X92" s="13" t="s">
        <v>38</v>
      </c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ht="18.0" hidden="1" customHeight="1">
      <c r="A93" s="3">
        <v>95.0</v>
      </c>
      <c r="B93" s="4" t="s">
        <v>592</v>
      </c>
      <c r="C93" s="5" t="s">
        <v>593</v>
      </c>
      <c r="D93" s="6" t="s">
        <v>26</v>
      </c>
      <c r="E93" s="7" t="s">
        <v>594</v>
      </c>
      <c r="F93" s="5">
        <f t="shared" si="1"/>
        <v>58</v>
      </c>
      <c r="G93" s="5">
        <f t="shared" si="2"/>
        <v>15</v>
      </c>
      <c r="H93" s="5">
        <f t="shared" si="3"/>
        <v>6</v>
      </c>
      <c r="I93" s="6" t="str">
        <f t="shared" si="4"/>
        <v>junio</v>
      </c>
      <c r="J93" s="6" t="s">
        <v>595</v>
      </c>
      <c r="K93" s="6" t="s">
        <v>230</v>
      </c>
      <c r="L93" s="6" t="s">
        <v>596</v>
      </c>
      <c r="M93" s="6">
        <v>9.30164833E8</v>
      </c>
      <c r="N93" s="6" t="s">
        <v>61</v>
      </c>
      <c r="O93" s="6" t="s">
        <v>32</v>
      </c>
      <c r="P93" s="7" t="s">
        <v>597</v>
      </c>
      <c r="Q93" s="5">
        <f t="shared" si="5"/>
        <v>9</v>
      </c>
      <c r="R93" s="5">
        <f t="shared" si="6"/>
        <v>6</v>
      </c>
      <c r="S93" s="6" t="s">
        <v>46</v>
      </c>
      <c r="T93" s="8" t="s">
        <v>35</v>
      </c>
      <c r="U93" s="6" t="s">
        <v>36</v>
      </c>
      <c r="V93" s="5" t="s">
        <v>37</v>
      </c>
      <c r="W93" s="9" t="s">
        <v>38</v>
      </c>
      <c r="X93" s="5" t="s">
        <v>38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8.0" hidden="1" customHeight="1">
      <c r="A94" s="11">
        <v>96.0</v>
      </c>
      <c r="B94" s="12" t="s">
        <v>598</v>
      </c>
      <c r="C94" s="13" t="s">
        <v>599</v>
      </c>
      <c r="D94" s="14" t="s">
        <v>26</v>
      </c>
      <c r="E94" s="16" t="s">
        <v>600</v>
      </c>
      <c r="F94" s="13">
        <f t="shared" si="1"/>
        <v>43</v>
      </c>
      <c r="G94" s="13">
        <f t="shared" si="2"/>
        <v>12</v>
      </c>
      <c r="H94" s="13">
        <f t="shared" si="3"/>
        <v>8</v>
      </c>
      <c r="I94" s="14" t="str">
        <f t="shared" si="4"/>
        <v>agosto</v>
      </c>
      <c r="J94" s="14" t="s">
        <v>601</v>
      </c>
      <c r="K94" s="14" t="s">
        <v>131</v>
      </c>
      <c r="L94" s="21" t="s">
        <v>602</v>
      </c>
      <c r="M94" s="14">
        <v>4.7961428E7</v>
      </c>
      <c r="N94" s="14" t="s">
        <v>83</v>
      </c>
      <c r="O94" s="14" t="s">
        <v>32</v>
      </c>
      <c r="P94" s="16" t="s">
        <v>603</v>
      </c>
      <c r="Q94" s="13">
        <f t="shared" si="5"/>
        <v>3</v>
      </c>
      <c r="R94" s="13">
        <f t="shared" si="6"/>
        <v>4</v>
      </c>
      <c r="S94" s="14" t="s">
        <v>46</v>
      </c>
      <c r="T94" s="8" t="s">
        <v>35</v>
      </c>
      <c r="U94" s="14" t="s">
        <v>36</v>
      </c>
      <c r="V94" s="13" t="s">
        <v>37</v>
      </c>
      <c r="W94" s="9" t="s">
        <v>38</v>
      </c>
      <c r="X94" s="13" t="s">
        <v>38</v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ht="18.0" hidden="1" customHeight="1">
      <c r="A95" s="3">
        <v>97.0</v>
      </c>
      <c r="B95" s="4" t="s">
        <v>604</v>
      </c>
      <c r="C95" s="5" t="s">
        <v>605</v>
      </c>
      <c r="D95" s="6" t="s">
        <v>26</v>
      </c>
      <c r="E95" s="7" t="s">
        <v>606</v>
      </c>
      <c r="F95" s="5">
        <f t="shared" si="1"/>
        <v>44</v>
      </c>
      <c r="G95" s="5">
        <f t="shared" si="2"/>
        <v>2</v>
      </c>
      <c r="H95" s="5">
        <f t="shared" si="3"/>
        <v>12</v>
      </c>
      <c r="I95" s="6" t="str">
        <f t="shared" si="4"/>
        <v>diciembre</v>
      </c>
      <c r="J95" s="6" t="s">
        <v>607</v>
      </c>
      <c r="K95" s="6" t="s">
        <v>123</v>
      </c>
      <c r="L95" s="6" t="s">
        <v>608</v>
      </c>
      <c r="M95" s="6">
        <v>4.0710362E7</v>
      </c>
      <c r="N95" s="6" t="s">
        <v>61</v>
      </c>
      <c r="O95" s="6" t="s">
        <v>32</v>
      </c>
      <c r="P95" s="7" t="s">
        <v>609</v>
      </c>
      <c r="Q95" s="5">
        <f t="shared" si="5"/>
        <v>12</v>
      </c>
      <c r="R95" s="5">
        <f t="shared" si="6"/>
        <v>3</v>
      </c>
      <c r="S95" s="6" t="s">
        <v>64</v>
      </c>
      <c r="T95" s="8" t="s">
        <v>35</v>
      </c>
      <c r="U95" s="6" t="s">
        <v>36</v>
      </c>
      <c r="V95" s="5" t="s">
        <v>37</v>
      </c>
      <c r="W95" s="9" t="s">
        <v>38</v>
      </c>
      <c r="X95" s="5" t="s">
        <v>38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8.0" hidden="1" customHeight="1">
      <c r="A96" s="11">
        <v>98.0</v>
      </c>
      <c r="B96" s="12" t="s">
        <v>610</v>
      </c>
      <c r="C96" s="13" t="s">
        <v>611</v>
      </c>
      <c r="D96" s="14" t="s">
        <v>26</v>
      </c>
      <c r="E96" s="16" t="s">
        <v>612</v>
      </c>
      <c r="F96" s="13">
        <f t="shared" si="1"/>
        <v>40</v>
      </c>
      <c r="G96" s="13">
        <f t="shared" si="2"/>
        <v>6</v>
      </c>
      <c r="H96" s="13">
        <f t="shared" si="3"/>
        <v>3</v>
      </c>
      <c r="I96" s="14" t="str">
        <f t="shared" si="4"/>
        <v>marzo</v>
      </c>
      <c r="J96" s="14" t="s">
        <v>613</v>
      </c>
      <c r="K96" s="14" t="s">
        <v>131</v>
      </c>
      <c r="L96" s="21" t="s">
        <v>614</v>
      </c>
      <c r="M96" s="14">
        <v>9.1014612E7</v>
      </c>
      <c r="N96" s="14" t="s">
        <v>31</v>
      </c>
      <c r="O96" s="14" t="s">
        <v>32</v>
      </c>
      <c r="P96" s="16" t="s">
        <v>291</v>
      </c>
      <c r="Q96" s="13">
        <f t="shared" si="5"/>
        <v>11</v>
      </c>
      <c r="R96" s="13">
        <f t="shared" si="6"/>
        <v>2</v>
      </c>
      <c r="S96" s="14" t="s">
        <v>64</v>
      </c>
      <c r="T96" s="8" t="s">
        <v>35</v>
      </c>
      <c r="U96" s="14" t="s">
        <v>47</v>
      </c>
      <c r="V96" s="13" t="s">
        <v>48</v>
      </c>
      <c r="W96" s="9" t="s">
        <v>38</v>
      </c>
      <c r="X96" s="13" t="s">
        <v>38</v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ht="18.0" hidden="1" customHeight="1">
      <c r="A97" s="3">
        <v>99.0</v>
      </c>
      <c r="B97" s="4" t="s">
        <v>615</v>
      </c>
      <c r="C97" s="5" t="s">
        <v>616</v>
      </c>
      <c r="D97" s="6" t="s">
        <v>26</v>
      </c>
      <c r="E97" s="7" t="s">
        <v>617</v>
      </c>
      <c r="F97" s="5">
        <f t="shared" si="1"/>
        <v>39</v>
      </c>
      <c r="G97" s="5">
        <f t="shared" si="2"/>
        <v>13</v>
      </c>
      <c r="H97" s="5">
        <f t="shared" si="3"/>
        <v>3</v>
      </c>
      <c r="I97" s="6" t="str">
        <f t="shared" si="4"/>
        <v>marzo</v>
      </c>
      <c r="J97" s="6" t="s">
        <v>618</v>
      </c>
      <c r="K97" s="6" t="s">
        <v>29</v>
      </c>
      <c r="L97" s="6" t="s">
        <v>619</v>
      </c>
      <c r="M97" s="6">
        <v>9.3634806E7</v>
      </c>
      <c r="N97" s="6" t="s">
        <v>620</v>
      </c>
      <c r="O97" s="6" t="s">
        <v>32</v>
      </c>
      <c r="P97" s="7" t="s">
        <v>621</v>
      </c>
      <c r="Q97" s="5">
        <f t="shared" si="5"/>
        <v>5</v>
      </c>
      <c r="R97" s="5">
        <f t="shared" si="6"/>
        <v>3</v>
      </c>
      <c r="S97" s="6" t="s">
        <v>292</v>
      </c>
      <c r="T97" s="8" t="s">
        <v>35</v>
      </c>
      <c r="U97" s="6" t="s">
        <v>47</v>
      </c>
      <c r="V97" s="5" t="s">
        <v>48</v>
      </c>
      <c r="W97" s="10"/>
      <c r="X97" s="5" t="s">
        <v>38</v>
      </c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8.0" hidden="1" customHeight="1">
      <c r="A98" s="11">
        <v>100.0</v>
      </c>
      <c r="B98" s="12" t="s">
        <v>622</v>
      </c>
      <c r="C98" s="13" t="s">
        <v>623</v>
      </c>
      <c r="D98" s="14" t="s">
        <v>26</v>
      </c>
      <c r="E98" s="16" t="s">
        <v>624</v>
      </c>
      <c r="F98" s="13">
        <f t="shared" si="1"/>
        <v>74</v>
      </c>
      <c r="G98" s="13">
        <f t="shared" si="2"/>
        <v>25</v>
      </c>
      <c r="H98" s="13">
        <f t="shared" si="3"/>
        <v>8</v>
      </c>
      <c r="I98" s="14" t="str">
        <f t="shared" si="4"/>
        <v>agosto</v>
      </c>
      <c r="J98" s="14" t="s">
        <v>625</v>
      </c>
      <c r="K98" s="14" t="s">
        <v>29</v>
      </c>
      <c r="L98" s="14" t="s">
        <v>626</v>
      </c>
      <c r="M98" s="14">
        <v>6.4558386E7</v>
      </c>
      <c r="N98" s="14" t="s">
        <v>83</v>
      </c>
      <c r="O98" s="14" t="s">
        <v>32</v>
      </c>
      <c r="P98" s="16" t="s">
        <v>212</v>
      </c>
      <c r="Q98" s="13">
        <f t="shared" si="5"/>
        <v>5</v>
      </c>
      <c r="R98" s="13">
        <f t="shared" si="6"/>
        <v>7</v>
      </c>
      <c r="S98" s="14" t="s">
        <v>46</v>
      </c>
      <c r="T98" s="8" t="s">
        <v>35</v>
      </c>
      <c r="U98" s="14" t="s">
        <v>36</v>
      </c>
      <c r="V98" s="13" t="s">
        <v>37</v>
      </c>
      <c r="W98" s="9" t="s">
        <v>38</v>
      </c>
      <c r="X98" s="13" t="s">
        <v>38</v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ht="18.0" hidden="1" customHeight="1">
      <c r="A99" s="3">
        <v>103.0</v>
      </c>
      <c r="B99" s="4" t="s">
        <v>627</v>
      </c>
      <c r="C99" s="5" t="s">
        <v>628</v>
      </c>
      <c r="D99" s="6" t="s">
        <v>26</v>
      </c>
      <c r="E99" s="7" t="s">
        <v>629</v>
      </c>
      <c r="F99" s="5">
        <f t="shared" si="1"/>
        <v>61</v>
      </c>
      <c r="G99" s="5">
        <f t="shared" si="2"/>
        <v>9</v>
      </c>
      <c r="H99" s="5">
        <f t="shared" si="3"/>
        <v>4</v>
      </c>
      <c r="I99" s="6" t="str">
        <f t="shared" si="4"/>
        <v>abril</v>
      </c>
      <c r="J99" s="6" t="s">
        <v>630</v>
      </c>
      <c r="K99" s="6" t="s">
        <v>43</v>
      </c>
      <c r="L99" s="6" t="s">
        <v>631</v>
      </c>
      <c r="M99" s="6">
        <v>3.2690389E7</v>
      </c>
      <c r="N99" s="6" t="s">
        <v>70</v>
      </c>
      <c r="O99" s="6" t="s">
        <v>32</v>
      </c>
      <c r="P99" s="7" t="s">
        <v>632</v>
      </c>
      <c r="Q99" s="5">
        <f t="shared" si="5"/>
        <v>6</v>
      </c>
      <c r="R99" s="5">
        <f t="shared" si="6"/>
        <v>11</v>
      </c>
      <c r="S99" s="6" t="s">
        <v>64</v>
      </c>
      <c r="T99" s="8" t="s">
        <v>35</v>
      </c>
      <c r="U99" s="6" t="s">
        <v>36</v>
      </c>
      <c r="V99" s="5" t="s">
        <v>37</v>
      </c>
      <c r="W99" s="24" t="s">
        <v>285</v>
      </c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8.0" hidden="1" customHeight="1">
      <c r="A100" s="11">
        <v>105.0</v>
      </c>
      <c r="B100" s="12" t="s">
        <v>633</v>
      </c>
      <c r="C100" s="13" t="s">
        <v>634</v>
      </c>
      <c r="D100" s="14" t="s">
        <v>26</v>
      </c>
      <c r="E100" s="16" t="s">
        <v>635</v>
      </c>
      <c r="F100" s="13">
        <f t="shared" si="1"/>
        <v>36</v>
      </c>
      <c r="G100" s="13">
        <f t="shared" si="2"/>
        <v>12</v>
      </c>
      <c r="H100" s="13">
        <f t="shared" si="3"/>
        <v>10</v>
      </c>
      <c r="I100" s="14" t="str">
        <f t="shared" si="4"/>
        <v>octubre</v>
      </c>
      <c r="J100" s="14" t="s">
        <v>636</v>
      </c>
      <c r="K100" s="14" t="s">
        <v>53</v>
      </c>
      <c r="L100" s="14" t="s">
        <v>637</v>
      </c>
      <c r="M100" s="14">
        <v>9.8204006E7</v>
      </c>
      <c r="N100" s="14" t="s">
        <v>61</v>
      </c>
      <c r="O100" s="14" t="s">
        <v>32</v>
      </c>
      <c r="P100" s="16" t="s">
        <v>101</v>
      </c>
      <c r="Q100" s="13">
        <f t="shared" si="5"/>
        <v>11</v>
      </c>
      <c r="R100" s="13">
        <f t="shared" si="6"/>
        <v>9</v>
      </c>
      <c r="S100" s="14" t="s">
        <v>265</v>
      </c>
      <c r="T100" s="8" t="s">
        <v>35</v>
      </c>
      <c r="U100" s="14" t="s">
        <v>47</v>
      </c>
      <c r="V100" s="13" t="s">
        <v>48</v>
      </c>
      <c r="W100" s="9" t="s">
        <v>38</v>
      </c>
      <c r="X100" s="13" t="s">
        <v>38</v>
      </c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ht="18.0" hidden="1" customHeight="1">
      <c r="A101" s="3">
        <v>106.0</v>
      </c>
      <c r="B101" s="4" t="s">
        <v>638</v>
      </c>
      <c r="C101" s="5" t="s">
        <v>639</v>
      </c>
      <c r="D101" s="6" t="s">
        <v>228</v>
      </c>
      <c r="E101" s="19">
        <v>27209.0</v>
      </c>
      <c r="F101" s="5">
        <f t="shared" si="1"/>
        <v>52</v>
      </c>
      <c r="G101" s="5">
        <f t="shared" si="2"/>
        <v>6</v>
      </c>
      <c r="H101" s="5">
        <f t="shared" si="3"/>
        <v>7</v>
      </c>
      <c r="I101" s="6" t="str">
        <f t="shared" si="4"/>
        <v>julio</v>
      </c>
      <c r="J101" s="6" t="s">
        <v>640</v>
      </c>
      <c r="K101" s="6" t="s">
        <v>123</v>
      </c>
      <c r="L101" s="6" t="s">
        <v>641</v>
      </c>
      <c r="M101" s="6">
        <v>9.44994152E8</v>
      </c>
      <c r="N101" s="6" t="s">
        <v>61</v>
      </c>
      <c r="O101" s="6" t="s">
        <v>32</v>
      </c>
      <c r="P101" s="7" t="s">
        <v>642</v>
      </c>
      <c r="Q101" s="5">
        <f t="shared" si="5"/>
        <v>5</v>
      </c>
      <c r="R101" s="5">
        <f t="shared" si="6"/>
        <v>5</v>
      </c>
      <c r="S101" s="6" t="s">
        <v>46</v>
      </c>
      <c r="T101" s="8" t="s">
        <v>35</v>
      </c>
      <c r="U101" s="6" t="s">
        <v>47</v>
      </c>
      <c r="V101" s="5" t="s">
        <v>48</v>
      </c>
      <c r="W101" s="9" t="s">
        <v>38</v>
      </c>
      <c r="X101" s="5" t="s">
        <v>38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8.0" hidden="1" customHeight="1">
      <c r="A102" s="11">
        <v>107.0</v>
      </c>
      <c r="B102" s="12" t="s">
        <v>643</v>
      </c>
      <c r="C102" s="13" t="s">
        <v>644</v>
      </c>
      <c r="D102" s="14" t="s">
        <v>26</v>
      </c>
      <c r="E102" s="16" t="s">
        <v>645</v>
      </c>
      <c r="F102" s="13">
        <f t="shared" si="1"/>
        <v>51</v>
      </c>
      <c r="G102" s="13">
        <f t="shared" si="2"/>
        <v>29</v>
      </c>
      <c r="H102" s="13">
        <f t="shared" si="3"/>
        <v>6</v>
      </c>
      <c r="I102" s="14" t="str">
        <f t="shared" si="4"/>
        <v>junio</v>
      </c>
      <c r="J102" s="14" t="s">
        <v>646</v>
      </c>
      <c r="K102" s="14" t="s">
        <v>43</v>
      </c>
      <c r="L102" s="14" t="s">
        <v>647</v>
      </c>
      <c r="M102" s="14">
        <v>9.7313913E7</v>
      </c>
      <c r="N102" s="14" t="s">
        <v>83</v>
      </c>
      <c r="O102" s="14" t="s">
        <v>648</v>
      </c>
      <c r="P102" s="16" t="s">
        <v>649</v>
      </c>
      <c r="Q102" s="13">
        <f t="shared" si="5"/>
        <v>3</v>
      </c>
      <c r="R102" s="13">
        <f t="shared" si="6"/>
        <v>11</v>
      </c>
      <c r="S102" s="14" t="s">
        <v>650</v>
      </c>
      <c r="T102" s="8" t="s">
        <v>35</v>
      </c>
      <c r="U102" s="14" t="s">
        <v>36</v>
      </c>
      <c r="V102" s="13" t="s">
        <v>37</v>
      </c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ht="18.0" hidden="1" customHeight="1">
      <c r="A103" s="3">
        <v>108.0</v>
      </c>
      <c r="B103" s="4" t="s">
        <v>651</v>
      </c>
      <c r="C103" s="5" t="s">
        <v>652</v>
      </c>
      <c r="D103" s="6" t="s">
        <v>26</v>
      </c>
      <c r="E103" s="7" t="s">
        <v>653</v>
      </c>
      <c r="F103" s="5">
        <f t="shared" si="1"/>
        <v>68</v>
      </c>
      <c r="G103" s="5">
        <f t="shared" si="2"/>
        <v>9</v>
      </c>
      <c r="H103" s="5">
        <f t="shared" si="3"/>
        <v>11</v>
      </c>
      <c r="I103" s="6" t="str">
        <f t="shared" si="4"/>
        <v>noviembre</v>
      </c>
      <c r="J103" s="6" t="s">
        <v>654</v>
      </c>
      <c r="K103" s="6" t="s">
        <v>29</v>
      </c>
      <c r="L103" s="6" t="s">
        <v>655</v>
      </c>
      <c r="M103" s="6">
        <v>9.0225313E7</v>
      </c>
      <c r="N103" s="6" t="s">
        <v>83</v>
      </c>
      <c r="O103" s="6" t="s">
        <v>32</v>
      </c>
      <c r="P103" s="7" t="s">
        <v>549</v>
      </c>
      <c r="Q103" s="5">
        <f t="shared" si="5"/>
        <v>9</v>
      </c>
      <c r="R103" s="5">
        <f t="shared" si="6"/>
        <v>4</v>
      </c>
      <c r="S103" s="6" t="s">
        <v>656</v>
      </c>
      <c r="T103" s="8" t="s">
        <v>35</v>
      </c>
      <c r="U103" s="6" t="s">
        <v>36</v>
      </c>
      <c r="V103" s="5" t="s">
        <v>37</v>
      </c>
      <c r="W103" s="10"/>
      <c r="X103" s="5" t="s">
        <v>38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8.0" hidden="1" customHeight="1">
      <c r="A104" s="11">
        <v>109.0</v>
      </c>
      <c r="B104" s="12" t="s">
        <v>657</v>
      </c>
      <c r="C104" s="13" t="s">
        <v>658</v>
      </c>
      <c r="D104" s="14" t="s">
        <v>26</v>
      </c>
      <c r="E104" s="25">
        <v>24776.0</v>
      </c>
      <c r="F104" s="13">
        <f t="shared" si="1"/>
        <v>59</v>
      </c>
      <c r="G104" s="13">
        <f t="shared" si="2"/>
        <v>6</v>
      </c>
      <c r="H104" s="13">
        <f t="shared" si="3"/>
        <v>8</v>
      </c>
      <c r="I104" s="14" t="str">
        <f t="shared" si="4"/>
        <v>agosto</v>
      </c>
      <c r="J104" s="14" t="s">
        <v>659</v>
      </c>
      <c r="K104" s="14" t="s">
        <v>53</v>
      </c>
      <c r="L104" s="14" t="s">
        <v>660</v>
      </c>
      <c r="M104" s="14">
        <v>9.87756132E8</v>
      </c>
      <c r="N104" s="14" t="s">
        <v>83</v>
      </c>
      <c r="O104" s="14" t="s">
        <v>32</v>
      </c>
      <c r="P104" s="16" t="s">
        <v>661</v>
      </c>
      <c r="Q104" s="13">
        <f t="shared" si="5"/>
        <v>19</v>
      </c>
      <c r="R104" s="13">
        <f t="shared" si="6"/>
        <v>10</v>
      </c>
      <c r="S104" s="14" t="s">
        <v>550</v>
      </c>
      <c r="T104" s="8" t="s">
        <v>35</v>
      </c>
      <c r="U104" s="14" t="s">
        <v>36</v>
      </c>
      <c r="V104" s="13" t="s">
        <v>37</v>
      </c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ht="18.0" hidden="1" customHeight="1">
      <c r="A105" s="3">
        <v>110.0</v>
      </c>
      <c r="B105" s="4" t="s">
        <v>662</v>
      </c>
      <c r="C105" s="5" t="s">
        <v>663</v>
      </c>
      <c r="D105" s="6" t="s">
        <v>41</v>
      </c>
      <c r="E105" s="7" t="s">
        <v>664</v>
      </c>
      <c r="F105" s="5">
        <f t="shared" si="1"/>
        <v>58</v>
      </c>
      <c r="G105" s="5">
        <f t="shared" si="2"/>
        <v>31</v>
      </c>
      <c r="H105" s="5">
        <f t="shared" si="3"/>
        <v>10</v>
      </c>
      <c r="I105" s="6" t="str">
        <f t="shared" si="4"/>
        <v>octubre</v>
      </c>
      <c r="J105" s="6" t="s">
        <v>665</v>
      </c>
      <c r="K105" s="6" t="s">
        <v>29</v>
      </c>
      <c r="L105" s="6" t="s">
        <v>666</v>
      </c>
      <c r="M105" s="6">
        <v>9.30315701E8</v>
      </c>
      <c r="N105" s="6" t="s">
        <v>31</v>
      </c>
      <c r="O105" s="6" t="s">
        <v>32</v>
      </c>
      <c r="P105" s="7" t="s">
        <v>667</v>
      </c>
      <c r="Q105" s="5">
        <f t="shared" si="5"/>
        <v>4</v>
      </c>
      <c r="R105" s="5">
        <f t="shared" si="6"/>
        <v>4</v>
      </c>
      <c r="S105" s="6" t="s">
        <v>225</v>
      </c>
      <c r="T105" s="8" t="s">
        <v>35</v>
      </c>
      <c r="U105" s="6" t="s">
        <v>36</v>
      </c>
      <c r="V105" s="5" t="s">
        <v>37</v>
      </c>
      <c r="W105" s="9" t="s">
        <v>38</v>
      </c>
      <c r="X105" s="5" t="s">
        <v>38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8.0" hidden="1" customHeight="1">
      <c r="A106" s="11">
        <v>111.0</v>
      </c>
      <c r="B106" s="12" t="s">
        <v>668</v>
      </c>
      <c r="C106" s="13" t="s">
        <v>669</v>
      </c>
      <c r="D106" s="14" t="s">
        <v>26</v>
      </c>
      <c r="E106" s="16" t="s">
        <v>670</v>
      </c>
      <c r="F106" s="13">
        <f t="shared" si="1"/>
        <v>50</v>
      </c>
      <c r="G106" s="13">
        <f t="shared" si="2"/>
        <v>1</v>
      </c>
      <c r="H106" s="13">
        <f t="shared" si="3"/>
        <v>12</v>
      </c>
      <c r="I106" s="14" t="str">
        <f t="shared" si="4"/>
        <v>diciembre</v>
      </c>
      <c r="J106" s="14" t="s">
        <v>671</v>
      </c>
      <c r="K106" s="14" t="s">
        <v>43</v>
      </c>
      <c r="L106" s="14" t="s">
        <v>672</v>
      </c>
      <c r="M106" s="14">
        <v>6.5711784E7</v>
      </c>
      <c r="N106" s="14" t="s">
        <v>91</v>
      </c>
      <c r="O106" s="14" t="s">
        <v>62</v>
      </c>
      <c r="P106" s="16" t="s">
        <v>673</v>
      </c>
      <c r="Q106" s="13">
        <f t="shared" si="5"/>
        <v>4</v>
      </c>
      <c r="R106" s="13">
        <f t="shared" si="6"/>
        <v>6</v>
      </c>
      <c r="S106" s="14" t="s">
        <v>250</v>
      </c>
      <c r="T106" s="13">
        <v>2.0</v>
      </c>
      <c r="U106" s="14" t="s">
        <v>36</v>
      </c>
      <c r="V106" s="13" t="s">
        <v>37</v>
      </c>
      <c r="W106" s="17"/>
      <c r="X106" s="13" t="s">
        <v>38</v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ht="18.0" hidden="1" customHeight="1">
      <c r="A107" s="3">
        <v>112.0</v>
      </c>
      <c r="B107" s="4" t="s">
        <v>674</v>
      </c>
      <c r="C107" s="5" t="s">
        <v>675</v>
      </c>
      <c r="D107" s="6" t="s">
        <v>26</v>
      </c>
      <c r="E107" s="7" t="s">
        <v>676</v>
      </c>
      <c r="F107" s="5">
        <f t="shared" si="1"/>
        <v>52</v>
      </c>
      <c r="G107" s="5">
        <f t="shared" si="2"/>
        <v>8</v>
      </c>
      <c r="H107" s="5">
        <f t="shared" si="3"/>
        <v>1</v>
      </c>
      <c r="I107" s="6" t="str">
        <f t="shared" si="4"/>
        <v>enero</v>
      </c>
      <c r="J107" s="6" t="s">
        <v>677</v>
      </c>
      <c r="K107" s="6" t="s">
        <v>131</v>
      </c>
      <c r="L107" s="6" t="s">
        <v>678</v>
      </c>
      <c r="M107" s="6">
        <v>5.7029852E7</v>
      </c>
      <c r="N107" s="6" t="s">
        <v>83</v>
      </c>
      <c r="O107" s="6" t="s">
        <v>32</v>
      </c>
      <c r="P107" s="7" t="s">
        <v>679</v>
      </c>
      <c r="Q107" s="5">
        <f t="shared" si="5"/>
        <v>13</v>
      </c>
      <c r="R107" s="5">
        <f t="shared" si="6"/>
        <v>3</v>
      </c>
      <c r="S107" s="6" t="s">
        <v>46</v>
      </c>
      <c r="T107" s="8" t="s">
        <v>35</v>
      </c>
      <c r="U107" s="6" t="s">
        <v>36</v>
      </c>
      <c r="V107" s="5" t="s">
        <v>37</v>
      </c>
      <c r="W107" s="9" t="s">
        <v>38</v>
      </c>
      <c r="X107" s="5" t="s">
        <v>38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8.0" hidden="1" customHeight="1">
      <c r="A108" s="11">
        <v>113.0</v>
      </c>
      <c r="B108" s="12" t="s">
        <v>680</v>
      </c>
      <c r="C108" s="13" t="s">
        <v>681</v>
      </c>
      <c r="D108" s="14" t="s">
        <v>41</v>
      </c>
      <c r="E108" s="16" t="s">
        <v>682</v>
      </c>
      <c r="F108" s="13">
        <f t="shared" si="1"/>
        <v>61</v>
      </c>
      <c r="G108" s="13">
        <f t="shared" si="2"/>
        <v>3</v>
      </c>
      <c r="H108" s="13">
        <f t="shared" si="3"/>
        <v>6</v>
      </c>
      <c r="I108" s="14" t="str">
        <f t="shared" si="4"/>
        <v>junio</v>
      </c>
      <c r="J108" s="14" t="s">
        <v>683</v>
      </c>
      <c r="K108" s="14" t="s">
        <v>29</v>
      </c>
      <c r="L108" s="14" t="s">
        <v>684</v>
      </c>
      <c r="M108" s="14">
        <v>9.95216528E8</v>
      </c>
      <c r="N108" s="14" t="s">
        <v>685</v>
      </c>
      <c r="O108" s="14" t="s">
        <v>32</v>
      </c>
      <c r="P108" s="16" t="s">
        <v>686</v>
      </c>
      <c r="Q108" s="13">
        <f t="shared" si="5"/>
        <v>14</v>
      </c>
      <c r="R108" s="13">
        <f t="shared" si="6"/>
        <v>5</v>
      </c>
      <c r="S108" s="14" t="s">
        <v>46</v>
      </c>
      <c r="T108" s="8" t="s">
        <v>35</v>
      </c>
      <c r="U108" s="14" t="s">
        <v>47</v>
      </c>
      <c r="V108" s="13" t="s">
        <v>48</v>
      </c>
      <c r="W108" s="9" t="s">
        <v>38</v>
      </c>
      <c r="X108" s="13" t="s">
        <v>38</v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ht="18.0" hidden="1" customHeight="1">
      <c r="A109" s="3">
        <v>114.0</v>
      </c>
      <c r="B109" s="4" t="s">
        <v>687</v>
      </c>
      <c r="C109" s="5" t="s">
        <v>688</v>
      </c>
      <c r="D109" s="6" t="s">
        <v>26</v>
      </c>
      <c r="E109" s="7" t="s">
        <v>689</v>
      </c>
      <c r="F109" s="5">
        <f t="shared" si="1"/>
        <v>45</v>
      </c>
      <c r="G109" s="5">
        <f t="shared" si="2"/>
        <v>20</v>
      </c>
      <c r="H109" s="5">
        <f t="shared" si="3"/>
        <v>9</v>
      </c>
      <c r="I109" s="6" t="str">
        <f t="shared" si="4"/>
        <v>septiembre</v>
      </c>
      <c r="J109" s="6" t="s">
        <v>690</v>
      </c>
      <c r="K109" s="6" t="s">
        <v>43</v>
      </c>
      <c r="L109" s="6" t="s">
        <v>691</v>
      </c>
      <c r="M109" s="6">
        <v>9.7896302E7</v>
      </c>
      <c r="N109" s="6" t="s">
        <v>31</v>
      </c>
      <c r="O109" s="6" t="s">
        <v>62</v>
      </c>
      <c r="P109" s="7" t="s">
        <v>692</v>
      </c>
      <c r="Q109" s="5">
        <f t="shared" si="5"/>
        <v>3</v>
      </c>
      <c r="R109" s="5">
        <f t="shared" si="6"/>
        <v>6</v>
      </c>
      <c r="S109" s="6" t="s">
        <v>693</v>
      </c>
      <c r="T109" s="8" t="s">
        <v>35</v>
      </c>
      <c r="U109" s="6" t="s">
        <v>36</v>
      </c>
      <c r="V109" s="5" t="s">
        <v>37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8.0" hidden="1" customHeight="1">
      <c r="A110" s="11">
        <v>115.0</v>
      </c>
      <c r="B110" s="12" t="s">
        <v>694</v>
      </c>
      <c r="C110" s="13" t="s">
        <v>695</v>
      </c>
      <c r="D110" s="14" t="s">
        <v>41</v>
      </c>
      <c r="E110" s="18">
        <v>22980.0</v>
      </c>
      <c r="F110" s="13">
        <f t="shared" si="1"/>
        <v>34</v>
      </c>
      <c r="G110" s="13">
        <f t="shared" si="2"/>
        <v>8</v>
      </c>
      <c r="H110" s="13">
        <f t="shared" si="3"/>
        <v>3</v>
      </c>
      <c r="I110" s="14" t="str">
        <f t="shared" si="4"/>
        <v>marzo</v>
      </c>
      <c r="J110" s="14" t="s">
        <v>696</v>
      </c>
      <c r="K110" s="14" t="s">
        <v>29</v>
      </c>
      <c r="L110" s="14" t="s">
        <v>697</v>
      </c>
      <c r="M110" s="14">
        <v>9.82005023E8</v>
      </c>
      <c r="N110" s="14" t="s">
        <v>31</v>
      </c>
      <c r="O110" s="14" t="s">
        <v>32</v>
      </c>
      <c r="P110" s="18">
        <v>44487.0</v>
      </c>
      <c r="Q110" s="13">
        <f t="shared" si="5"/>
        <v>8</v>
      </c>
      <c r="R110" s="13">
        <f t="shared" si="6"/>
        <v>2</v>
      </c>
      <c r="S110" s="14" t="s">
        <v>225</v>
      </c>
      <c r="T110" s="8" t="s">
        <v>35</v>
      </c>
      <c r="U110" s="14" t="s">
        <v>36</v>
      </c>
      <c r="V110" s="13" t="s">
        <v>37</v>
      </c>
      <c r="W110" s="9" t="s">
        <v>38</v>
      </c>
      <c r="X110" s="13" t="s">
        <v>38</v>
      </c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ht="18.0" hidden="1" customHeight="1">
      <c r="A111" s="3">
        <v>116.0</v>
      </c>
      <c r="B111" s="4" t="s">
        <v>698</v>
      </c>
      <c r="C111" s="5" t="s">
        <v>699</v>
      </c>
      <c r="D111" s="6" t="s">
        <v>41</v>
      </c>
      <c r="E111" s="7" t="s">
        <v>700</v>
      </c>
      <c r="F111" s="5">
        <f t="shared" si="1"/>
        <v>63</v>
      </c>
      <c r="G111" s="5">
        <f t="shared" si="2"/>
        <v>30</v>
      </c>
      <c r="H111" s="5">
        <f t="shared" si="3"/>
        <v>11</v>
      </c>
      <c r="I111" s="6" t="str">
        <f t="shared" si="4"/>
        <v>noviembre</v>
      </c>
      <c r="J111" s="6" t="s">
        <v>701</v>
      </c>
      <c r="K111" s="6" t="s">
        <v>68</v>
      </c>
      <c r="L111" s="6" t="s">
        <v>702</v>
      </c>
      <c r="M111" s="6">
        <v>3.6770865E7</v>
      </c>
      <c r="N111" s="6" t="s">
        <v>125</v>
      </c>
      <c r="O111" s="6" t="s">
        <v>32</v>
      </c>
      <c r="P111" s="7" t="s">
        <v>703</v>
      </c>
      <c r="Q111" s="5">
        <f t="shared" si="5"/>
        <v>4</v>
      </c>
      <c r="R111" s="5">
        <f t="shared" si="6"/>
        <v>7</v>
      </c>
      <c r="S111" s="6" t="s">
        <v>46</v>
      </c>
      <c r="T111" s="8" t="s">
        <v>35</v>
      </c>
      <c r="U111" s="6" t="s">
        <v>47</v>
      </c>
      <c r="V111" s="5" t="s">
        <v>48</v>
      </c>
      <c r="W111" s="9" t="s">
        <v>38</v>
      </c>
      <c r="X111" s="5" t="s">
        <v>38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8.0" hidden="1" customHeight="1">
      <c r="A112" s="11">
        <v>118.0</v>
      </c>
      <c r="B112" s="12" t="s">
        <v>704</v>
      </c>
      <c r="C112" s="13" t="s">
        <v>705</v>
      </c>
      <c r="D112" s="14" t="s">
        <v>26</v>
      </c>
      <c r="E112" s="16" t="s">
        <v>706</v>
      </c>
      <c r="F112" s="13">
        <f t="shared" si="1"/>
        <v>30</v>
      </c>
      <c r="G112" s="13">
        <f t="shared" si="2"/>
        <v>10</v>
      </c>
      <c r="H112" s="13">
        <f t="shared" si="3"/>
        <v>9</v>
      </c>
      <c r="I112" s="14" t="str">
        <f t="shared" si="4"/>
        <v>septiembre</v>
      </c>
      <c r="J112" s="14" t="s">
        <v>707</v>
      </c>
      <c r="K112" s="14" t="s">
        <v>53</v>
      </c>
      <c r="L112" s="14" t="s">
        <v>708</v>
      </c>
      <c r="M112" s="14">
        <v>4.6222243E7</v>
      </c>
      <c r="N112" s="14" t="s">
        <v>31</v>
      </c>
      <c r="O112" s="14" t="s">
        <v>32</v>
      </c>
      <c r="P112" s="16" t="s">
        <v>709</v>
      </c>
      <c r="Q112" s="13">
        <f t="shared" si="5"/>
        <v>5</v>
      </c>
      <c r="R112" s="13">
        <f t="shared" si="6"/>
        <v>4</v>
      </c>
      <c r="S112" s="14" t="s">
        <v>46</v>
      </c>
      <c r="T112" s="8" t="s">
        <v>35</v>
      </c>
      <c r="U112" s="14" t="s">
        <v>36</v>
      </c>
      <c r="V112" s="13" t="s">
        <v>37</v>
      </c>
      <c r="W112" s="9" t="s">
        <v>38</v>
      </c>
      <c r="X112" s="13" t="s">
        <v>38</v>
      </c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ht="18.0" hidden="1" customHeight="1">
      <c r="A113" s="3">
        <v>119.0</v>
      </c>
      <c r="B113" s="4" t="s">
        <v>710</v>
      </c>
      <c r="C113" s="5" t="s">
        <v>711</v>
      </c>
      <c r="D113" s="6" t="s">
        <v>26</v>
      </c>
      <c r="E113" s="7" t="s">
        <v>712</v>
      </c>
      <c r="F113" s="5">
        <f t="shared" si="1"/>
        <v>41</v>
      </c>
      <c r="G113" s="5">
        <f t="shared" si="2"/>
        <v>10</v>
      </c>
      <c r="H113" s="5">
        <f t="shared" si="3"/>
        <v>8</v>
      </c>
      <c r="I113" s="6" t="str">
        <f t="shared" si="4"/>
        <v>agosto</v>
      </c>
      <c r="J113" s="6" t="s">
        <v>713</v>
      </c>
      <c r="K113" s="6" t="s">
        <v>29</v>
      </c>
      <c r="L113" s="6" t="s">
        <v>714</v>
      </c>
      <c r="M113" s="6">
        <v>9.2455608E7</v>
      </c>
      <c r="N113" s="6" t="s">
        <v>31</v>
      </c>
      <c r="O113" s="6" t="s">
        <v>32</v>
      </c>
      <c r="P113" s="7" t="s">
        <v>715</v>
      </c>
      <c r="Q113" s="5">
        <f t="shared" si="5"/>
        <v>13</v>
      </c>
      <c r="R113" s="5">
        <f t="shared" si="6"/>
        <v>3</v>
      </c>
      <c r="S113" s="6" t="s">
        <v>64</v>
      </c>
      <c r="T113" s="8" t="s">
        <v>35</v>
      </c>
      <c r="U113" s="6" t="s">
        <v>47</v>
      </c>
      <c r="V113" s="5" t="s">
        <v>48</v>
      </c>
      <c r="W113" s="9" t="s">
        <v>38</v>
      </c>
      <c r="X113" s="5" t="s">
        <v>38</v>
      </c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8.0" hidden="1" customHeight="1">
      <c r="A114" s="11">
        <v>120.0</v>
      </c>
      <c r="B114" s="12" t="s">
        <v>716</v>
      </c>
      <c r="C114" s="13" t="s">
        <v>717</v>
      </c>
      <c r="D114" s="14" t="s">
        <v>26</v>
      </c>
      <c r="E114" s="16" t="s">
        <v>718</v>
      </c>
      <c r="F114" s="13">
        <f t="shared" si="1"/>
        <v>31</v>
      </c>
      <c r="G114" s="13">
        <f t="shared" si="2"/>
        <v>1</v>
      </c>
      <c r="H114" s="13">
        <f t="shared" si="3"/>
        <v>7</v>
      </c>
      <c r="I114" s="14" t="str">
        <f t="shared" si="4"/>
        <v>julio</v>
      </c>
      <c r="J114" s="14" t="s">
        <v>719</v>
      </c>
      <c r="K114" s="14" t="s">
        <v>29</v>
      </c>
      <c r="L114" s="14" t="s">
        <v>720</v>
      </c>
      <c r="M114" s="14">
        <v>6.6141524E7</v>
      </c>
      <c r="N114" s="14" t="s">
        <v>91</v>
      </c>
      <c r="O114" s="14" t="s">
        <v>32</v>
      </c>
      <c r="P114" s="16" t="s">
        <v>721</v>
      </c>
      <c r="Q114" s="13">
        <f t="shared" si="5"/>
        <v>4</v>
      </c>
      <c r="R114" s="13">
        <f t="shared" si="6"/>
        <v>11</v>
      </c>
      <c r="S114" s="14" t="s">
        <v>46</v>
      </c>
      <c r="T114" s="8" t="s">
        <v>35</v>
      </c>
      <c r="U114" s="14" t="s">
        <v>36</v>
      </c>
      <c r="V114" s="13" t="s">
        <v>37</v>
      </c>
      <c r="W114" s="24" t="s">
        <v>285</v>
      </c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ht="18.0" customHeight="1">
      <c r="A115" s="3">
        <v>121.0</v>
      </c>
      <c r="B115" s="4" t="s">
        <v>722</v>
      </c>
      <c r="C115" s="5" t="s">
        <v>723</v>
      </c>
      <c r="D115" s="6" t="s">
        <v>26</v>
      </c>
      <c r="E115" s="7" t="s">
        <v>724</v>
      </c>
      <c r="F115" s="5">
        <f t="shared" si="1"/>
        <v>49</v>
      </c>
      <c r="G115" s="5">
        <f t="shared" si="2"/>
        <v>18</v>
      </c>
      <c r="H115" s="5">
        <f t="shared" si="3"/>
        <v>3</v>
      </c>
      <c r="I115" s="6" t="str">
        <f t="shared" si="4"/>
        <v>marzo</v>
      </c>
      <c r="J115" s="6" t="s">
        <v>725</v>
      </c>
      <c r="K115" s="6" t="s">
        <v>29</v>
      </c>
      <c r="L115" s="6" t="s">
        <v>726</v>
      </c>
      <c r="M115" s="6">
        <v>6.6407643E7</v>
      </c>
      <c r="N115" s="6" t="s">
        <v>31</v>
      </c>
      <c r="O115" s="6" t="s">
        <v>92</v>
      </c>
      <c r="P115" s="7" t="s">
        <v>727</v>
      </c>
      <c r="Q115" s="5">
        <f t="shared" si="5"/>
        <v>15</v>
      </c>
      <c r="R115" s="5">
        <f t="shared" si="6"/>
        <v>5</v>
      </c>
      <c r="S115" s="6" t="s">
        <v>728</v>
      </c>
      <c r="T115" s="8" t="s">
        <v>35</v>
      </c>
      <c r="U115" s="6" t="s">
        <v>47</v>
      </c>
      <c r="V115" s="5" t="s">
        <v>48</v>
      </c>
      <c r="W115" s="10"/>
      <c r="X115" s="5" t="s">
        <v>38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8.0" hidden="1" customHeight="1">
      <c r="A116" s="11">
        <v>2.0</v>
      </c>
      <c r="B116" s="12" t="s">
        <v>729</v>
      </c>
      <c r="C116" s="13" t="s">
        <v>730</v>
      </c>
      <c r="D116" s="14" t="s">
        <v>26</v>
      </c>
      <c r="E116" s="25">
        <v>34342.0</v>
      </c>
      <c r="F116" s="13">
        <f t="shared" si="1"/>
        <v>33</v>
      </c>
      <c r="G116" s="13">
        <f t="shared" si="2"/>
        <v>6</v>
      </c>
      <c r="H116" s="13">
        <f t="shared" si="3"/>
        <v>7</v>
      </c>
      <c r="I116" s="14" t="str">
        <f t="shared" si="4"/>
        <v>julio</v>
      </c>
      <c r="J116" s="14" t="s">
        <v>731</v>
      </c>
      <c r="K116" s="14" t="s">
        <v>123</v>
      </c>
      <c r="L116" s="14" t="s">
        <v>732</v>
      </c>
      <c r="M116" s="14">
        <v>9.57514791E8</v>
      </c>
      <c r="N116" s="14" t="s">
        <v>125</v>
      </c>
      <c r="O116" s="14" t="s">
        <v>32</v>
      </c>
      <c r="P116" s="25">
        <v>44440.0</v>
      </c>
      <c r="Q116" s="13">
        <f t="shared" si="5"/>
        <v>6</v>
      </c>
      <c r="R116" s="13">
        <f t="shared" si="6"/>
        <v>7</v>
      </c>
      <c r="S116" s="14" t="s">
        <v>250</v>
      </c>
      <c r="T116" s="13">
        <v>2.0</v>
      </c>
      <c r="U116" s="14" t="s">
        <v>36</v>
      </c>
      <c r="V116" s="13" t="s">
        <v>37</v>
      </c>
      <c r="W116" s="17"/>
      <c r="X116" s="13" t="s">
        <v>38</v>
      </c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ht="18.0" hidden="1" customHeight="1">
      <c r="A117" s="3">
        <v>123.0</v>
      </c>
      <c r="B117" s="4" t="s">
        <v>733</v>
      </c>
      <c r="C117" s="5" t="s">
        <v>734</v>
      </c>
      <c r="D117" s="6" t="s">
        <v>26</v>
      </c>
      <c r="E117" s="7" t="s">
        <v>735</v>
      </c>
      <c r="F117" s="5">
        <f t="shared" si="1"/>
        <v>32</v>
      </c>
      <c r="G117" s="5">
        <f t="shared" si="2"/>
        <v>8</v>
      </c>
      <c r="H117" s="5">
        <f t="shared" si="3"/>
        <v>1</v>
      </c>
      <c r="I117" s="6" t="str">
        <f t="shared" si="4"/>
        <v>enero</v>
      </c>
      <c r="J117" s="6" t="s">
        <v>736</v>
      </c>
      <c r="K117" s="6" t="s">
        <v>68</v>
      </c>
      <c r="L117" s="6" t="s">
        <v>737</v>
      </c>
      <c r="M117" s="6">
        <v>9.31001355E8</v>
      </c>
      <c r="N117" s="6" t="s">
        <v>70</v>
      </c>
      <c r="O117" s="6" t="s">
        <v>32</v>
      </c>
      <c r="P117" s="7" t="s">
        <v>489</v>
      </c>
      <c r="Q117" s="5">
        <f t="shared" si="5"/>
        <v>4</v>
      </c>
      <c r="R117" s="5">
        <f t="shared" si="6"/>
        <v>8</v>
      </c>
      <c r="S117" s="6" t="s">
        <v>46</v>
      </c>
      <c r="T117" s="8" t="s">
        <v>35</v>
      </c>
      <c r="U117" s="6" t="s">
        <v>36</v>
      </c>
      <c r="V117" s="5" t="s">
        <v>37</v>
      </c>
      <c r="W117" s="9" t="s">
        <v>511</v>
      </c>
      <c r="X117" s="5" t="s">
        <v>38</v>
      </c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8.0" hidden="1" customHeight="1">
      <c r="A118" s="11">
        <v>124.0</v>
      </c>
      <c r="B118" s="12" t="s">
        <v>738</v>
      </c>
      <c r="C118" s="13" t="s">
        <v>739</v>
      </c>
      <c r="D118" s="14" t="s">
        <v>26</v>
      </c>
      <c r="E118" s="16" t="s">
        <v>740</v>
      </c>
      <c r="F118" s="13">
        <f t="shared" si="1"/>
        <v>29</v>
      </c>
      <c r="G118" s="13">
        <f t="shared" si="2"/>
        <v>29</v>
      </c>
      <c r="H118" s="13">
        <f t="shared" si="3"/>
        <v>9</v>
      </c>
      <c r="I118" s="14" t="str">
        <f t="shared" si="4"/>
        <v>septiembre</v>
      </c>
      <c r="J118" s="14" t="s">
        <v>741</v>
      </c>
      <c r="K118" s="14" t="s">
        <v>68</v>
      </c>
      <c r="L118" s="14" t="s">
        <v>742</v>
      </c>
      <c r="M118" s="14">
        <v>9687157.0</v>
      </c>
      <c r="N118" s="14" t="s">
        <v>91</v>
      </c>
      <c r="O118" s="14" t="s">
        <v>32</v>
      </c>
      <c r="P118" s="16" t="s">
        <v>743</v>
      </c>
      <c r="Q118" s="13">
        <f t="shared" si="5"/>
        <v>1</v>
      </c>
      <c r="R118" s="13">
        <f t="shared" si="6"/>
        <v>4</v>
      </c>
      <c r="S118" s="14" t="s">
        <v>64</v>
      </c>
      <c r="T118" s="8" t="s">
        <v>35</v>
      </c>
      <c r="U118" s="14" t="s">
        <v>47</v>
      </c>
      <c r="V118" s="13" t="s">
        <v>48</v>
      </c>
      <c r="W118" s="9" t="s">
        <v>38</v>
      </c>
      <c r="X118" s="13" t="s">
        <v>38</v>
      </c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ht="18.0" hidden="1" customHeight="1">
      <c r="A119" s="3">
        <v>125.0</v>
      </c>
      <c r="B119" s="4" t="s">
        <v>744</v>
      </c>
      <c r="C119" s="5" t="s">
        <v>745</v>
      </c>
      <c r="D119" s="6" t="s">
        <v>26</v>
      </c>
      <c r="E119" s="7" t="s">
        <v>746</v>
      </c>
      <c r="F119" s="5">
        <f t="shared" si="1"/>
        <v>62</v>
      </c>
      <c r="G119" s="5">
        <f t="shared" si="2"/>
        <v>22</v>
      </c>
      <c r="H119" s="5">
        <f t="shared" si="3"/>
        <v>7</v>
      </c>
      <c r="I119" s="6" t="str">
        <f t="shared" si="4"/>
        <v>julio</v>
      </c>
      <c r="J119" s="6" t="s">
        <v>289</v>
      </c>
      <c r="K119" s="6" t="s">
        <v>89</v>
      </c>
      <c r="L119" s="6" t="s">
        <v>747</v>
      </c>
      <c r="M119" s="6">
        <v>4.4204882E7</v>
      </c>
      <c r="N119" s="6" t="s">
        <v>31</v>
      </c>
      <c r="O119" s="6" t="s">
        <v>32</v>
      </c>
      <c r="P119" s="7" t="s">
        <v>218</v>
      </c>
      <c r="Q119" s="5">
        <f t="shared" si="5"/>
        <v>8</v>
      </c>
      <c r="R119" s="5">
        <f t="shared" si="6"/>
        <v>6</v>
      </c>
      <c r="S119" s="6" t="s">
        <v>265</v>
      </c>
      <c r="T119" s="8" t="s">
        <v>35</v>
      </c>
      <c r="U119" s="6" t="s">
        <v>47</v>
      </c>
      <c r="V119" s="5" t="s">
        <v>48</v>
      </c>
      <c r="W119" s="9" t="s">
        <v>38</v>
      </c>
      <c r="X119" s="5" t="s">
        <v>38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8.0" hidden="1" customHeight="1">
      <c r="A120" s="11">
        <v>126.0</v>
      </c>
      <c r="B120" s="12" t="s">
        <v>748</v>
      </c>
      <c r="C120" s="13" t="s">
        <v>749</v>
      </c>
      <c r="D120" s="14" t="s">
        <v>26</v>
      </c>
      <c r="E120" s="16" t="s">
        <v>750</v>
      </c>
      <c r="F120" s="13">
        <f t="shared" si="1"/>
        <v>31</v>
      </c>
      <c r="G120" s="13">
        <f t="shared" si="2"/>
        <v>27</v>
      </c>
      <c r="H120" s="13">
        <f t="shared" si="3"/>
        <v>8</v>
      </c>
      <c r="I120" s="14" t="str">
        <f t="shared" si="4"/>
        <v>agosto</v>
      </c>
      <c r="J120" s="14" t="s">
        <v>751</v>
      </c>
      <c r="K120" s="14" t="s">
        <v>43</v>
      </c>
      <c r="L120" s="21" t="s">
        <v>752</v>
      </c>
      <c r="M120" s="14">
        <v>9.6692328E7</v>
      </c>
      <c r="N120" s="14" t="s">
        <v>31</v>
      </c>
      <c r="O120" s="14" t="s">
        <v>32</v>
      </c>
      <c r="P120" s="16" t="s">
        <v>753</v>
      </c>
      <c r="Q120" s="13">
        <f t="shared" si="5"/>
        <v>5</v>
      </c>
      <c r="R120" s="13">
        <f t="shared" si="6"/>
        <v>7</v>
      </c>
      <c r="S120" s="14" t="s">
        <v>46</v>
      </c>
      <c r="T120" s="8" t="s">
        <v>35</v>
      </c>
      <c r="U120" s="14" t="s">
        <v>47</v>
      </c>
      <c r="V120" s="13" t="s">
        <v>48</v>
      </c>
      <c r="W120" s="9" t="s">
        <v>38</v>
      </c>
      <c r="X120" s="13" t="s">
        <v>38</v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ht="18.0" hidden="1" customHeight="1">
      <c r="A121" s="3">
        <v>127.0</v>
      </c>
      <c r="B121" s="4" t="s">
        <v>754</v>
      </c>
      <c r="C121" s="5" t="s">
        <v>755</v>
      </c>
      <c r="D121" s="6" t="s">
        <v>26</v>
      </c>
      <c r="E121" s="7" t="s">
        <v>756</v>
      </c>
      <c r="F121" s="5">
        <f t="shared" si="1"/>
        <v>35</v>
      </c>
      <c r="G121" s="5">
        <f t="shared" si="2"/>
        <v>12</v>
      </c>
      <c r="H121" s="5">
        <f t="shared" si="3"/>
        <v>9</v>
      </c>
      <c r="I121" s="6" t="str">
        <f t="shared" si="4"/>
        <v>septiembre</v>
      </c>
      <c r="J121" s="6" t="s">
        <v>757</v>
      </c>
      <c r="K121" s="6" t="s">
        <v>123</v>
      </c>
      <c r="L121" s="6" t="s">
        <v>758</v>
      </c>
      <c r="M121" s="6">
        <v>8.4267934E7</v>
      </c>
      <c r="N121" s="6" t="s">
        <v>31</v>
      </c>
      <c r="O121" s="6" t="s">
        <v>32</v>
      </c>
      <c r="P121" s="7" t="s">
        <v>759</v>
      </c>
      <c r="Q121" s="5">
        <f t="shared" si="5"/>
        <v>9</v>
      </c>
      <c r="R121" s="5">
        <f t="shared" si="6"/>
        <v>7</v>
      </c>
      <c r="S121" s="6" t="s">
        <v>64</v>
      </c>
      <c r="T121" s="8" t="s">
        <v>35</v>
      </c>
      <c r="U121" s="6" t="s">
        <v>36</v>
      </c>
      <c r="V121" s="5" t="s">
        <v>37</v>
      </c>
      <c r="W121" s="9" t="s">
        <v>38</v>
      </c>
      <c r="X121" s="5" t="s">
        <v>38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8.0" hidden="1" customHeight="1">
      <c r="A122" s="11">
        <v>128.0</v>
      </c>
      <c r="B122" s="12" t="s">
        <v>760</v>
      </c>
      <c r="C122" s="13" t="s">
        <v>761</v>
      </c>
      <c r="D122" s="14" t="s">
        <v>26</v>
      </c>
      <c r="E122" s="16" t="s">
        <v>762</v>
      </c>
      <c r="F122" s="13">
        <f t="shared" si="1"/>
        <v>35</v>
      </c>
      <c r="G122" s="13">
        <f t="shared" si="2"/>
        <v>14</v>
      </c>
      <c r="H122" s="13">
        <f t="shared" si="3"/>
        <v>2</v>
      </c>
      <c r="I122" s="14" t="str">
        <f t="shared" si="4"/>
        <v>febrero</v>
      </c>
      <c r="J122" s="14" t="s">
        <v>763</v>
      </c>
      <c r="K122" s="14" t="s">
        <v>29</v>
      </c>
      <c r="L122" s="21" t="s">
        <v>764</v>
      </c>
      <c r="M122" s="14">
        <v>7.8635307E7</v>
      </c>
      <c r="N122" s="14" t="s">
        <v>61</v>
      </c>
      <c r="O122" s="14" t="s">
        <v>32</v>
      </c>
      <c r="P122" s="16" t="s">
        <v>765</v>
      </c>
      <c r="Q122" s="13">
        <f t="shared" si="5"/>
        <v>7</v>
      </c>
      <c r="R122" s="13">
        <f t="shared" si="6"/>
        <v>0</v>
      </c>
      <c r="S122" s="14" t="s">
        <v>64</v>
      </c>
      <c r="T122" s="8" t="s">
        <v>35</v>
      </c>
      <c r="U122" s="14" t="s">
        <v>36</v>
      </c>
      <c r="V122" s="13" t="s">
        <v>37</v>
      </c>
      <c r="W122" s="9" t="s">
        <v>38</v>
      </c>
      <c r="X122" s="13" t="s">
        <v>38</v>
      </c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ht="18.0" hidden="1" customHeight="1">
      <c r="A123" s="3">
        <v>129.0</v>
      </c>
      <c r="B123" s="4" t="s">
        <v>766</v>
      </c>
      <c r="C123" s="5" t="s">
        <v>767</v>
      </c>
      <c r="D123" s="6" t="s">
        <v>26</v>
      </c>
      <c r="E123" s="7" t="s">
        <v>768</v>
      </c>
      <c r="F123" s="5">
        <f t="shared" si="1"/>
        <v>44</v>
      </c>
      <c r="G123" s="5">
        <f t="shared" si="2"/>
        <v>13</v>
      </c>
      <c r="H123" s="5">
        <f t="shared" si="3"/>
        <v>6</v>
      </c>
      <c r="I123" s="6" t="str">
        <f t="shared" si="4"/>
        <v>junio</v>
      </c>
      <c r="J123" s="6" t="s">
        <v>769</v>
      </c>
      <c r="K123" s="6" t="s">
        <v>123</v>
      </c>
      <c r="L123" s="6" t="s">
        <v>770</v>
      </c>
      <c r="M123" s="6">
        <v>6.4325145E7</v>
      </c>
      <c r="N123" s="6" t="s">
        <v>61</v>
      </c>
      <c r="O123" s="6" t="s">
        <v>32</v>
      </c>
      <c r="P123" s="7" t="s">
        <v>771</v>
      </c>
      <c r="Q123" s="5">
        <f t="shared" si="5"/>
        <v>20</v>
      </c>
      <c r="R123" s="5">
        <f t="shared" si="6"/>
        <v>5</v>
      </c>
      <c r="S123" s="6" t="s">
        <v>46</v>
      </c>
      <c r="T123" s="8" t="s">
        <v>35</v>
      </c>
      <c r="U123" s="6" t="s">
        <v>47</v>
      </c>
      <c r="V123" s="5" t="s">
        <v>48</v>
      </c>
      <c r="W123" s="9" t="s">
        <v>38</v>
      </c>
      <c r="X123" s="5" t="s">
        <v>38</v>
      </c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8.0" hidden="1" customHeight="1">
      <c r="A124" s="11">
        <v>130.0</v>
      </c>
      <c r="B124" s="12" t="s">
        <v>772</v>
      </c>
      <c r="C124" s="13" t="s">
        <v>773</v>
      </c>
      <c r="D124" s="14" t="s">
        <v>26</v>
      </c>
      <c r="E124" s="16" t="s">
        <v>774</v>
      </c>
      <c r="F124" s="13">
        <f t="shared" si="1"/>
        <v>48</v>
      </c>
      <c r="G124" s="13">
        <f t="shared" si="2"/>
        <v>12</v>
      </c>
      <c r="H124" s="13">
        <f t="shared" si="3"/>
        <v>10</v>
      </c>
      <c r="I124" s="14" t="str">
        <f t="shared" si="4"/>
        <v>octubre</v>
      </c>
      <c r="J124" s="14" t="s">
        <v>775</v>
      </c>
      <c r="K124" s="14" t="s">
        <v>29</v>
      </c>
      <c r="L124" s="14" t="s">
        <v>776</v>
      </c>
      <c r="M124" s="14">
        <v>7.5522296E7</v>
      </c>
      <c r="N124" s="14" t="s">
        <v>31</v>
      </c>
      <c r="O124" s="14" t="s">
        <v>62</v>
      </c>
      <c r="P124" s="16" t="s">
        <v>777</v>
      </c>
      <c r="Q124" s="13">
        <f t="shared" si="5"/>
        <v>5</v>
      </c>
      <c r="R124" s="13">
        <f t="shared" si="6"/>
        <v>6</v>
      </c>
      <c r="S124" s="14" t="s">
        <v>94</v>
      </c>
      <c r="T124" s="8" t="s">
        <v>35</v>
      </c>
      <c r="U124" s="14" t="s">
        <v>36</v>
      </c>
      <c r="V124" s="13" t="s">
        <v>37</v>
      </c>
      <c r="W124" s="17"/>
      <c r="X124" s="13" t="s">
        <v>38</v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ht="18.0" hidden="1" customHeight="1">
      <c r="A125" s="3">
        <v>131.0</v>
      </c>
      <c r="B125" s="4" t="s">
        <v>778</v>
      </c>
      <c r="C125" s="5" t="s">
        <v>779</v>
      </c>
      <c r="D125" s="6" t="s">
        <v>26</v>
      </c>
      <c r="E125" s="7" t="s">
        <v>780</v>
      </c>
      <c r="F125" s="5">
        <f t="shared" si="1"/>
        <v>37</v>
      </c>
      <c r="G125" s="5">
        <f t="shared" si="2"/>
        <v>20</v>
      </c>
      <c r="H125" s="5">
        <f t="shared" si="3"/>
        <v>10</v>
      </c>
      <c r="I125" s="6" t="str">
        <f t="shared" si="4"/>
        <v>octubre</v>
      </c>
      <c r="J125" s="6" t="s">
        <v>781</v>
      </c>
      <c r="K125" s="6" t="s">
        <v>53</v>
      </c>
      <c r="L125" s="6" t="s">
        <v>782</v>
      </c>
      <c r="M125" s="6">
        <v>7.9318024E7</v>
      </c>
      <c r="N125" s="6" t="s">
        <v>70</v>
      </c>
      <c r="O125" s="6" t="s">
        <v>32</v>
      </c>
      <c r="P125" s="7" t="s">
        <v>562</v>
      </c>
      <c r="Q125" s="5">
        <f t="shared" si="5"/>
        <v>11</v>
      </c>
      <c r="R125" s="5">
        <f t="shared" si="6"/>
        <v>6</v>
      </c>
      <c r="S125" s="6" t="s">
        <v>64</v>
      </c>
      <c r="T125" s="8" t="s">
        <v>35</v>
      </c>
      <c r="U125" s="6" t="s">
        <v>47</v>
      </c>
      <c r="V125" s="5" t="s">
        <v>48</v>
      </c>
      <c r="W125" s="9" t="s">
        <v>38</v>
      </c>
      <c r="X125" s="5" t="s">
        <v>38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8.0" hidden="1" customHeight="1">
      <c r="A126" s="11">
        <v>132.0</v>
      </c>
      <c r="B126" s="12" t="s">
        <v>783</v>
      </c>
      <c r="C126" s="13" t="s">
        <v>784</v>
      </c>
      <c r="D126" s="14" t="s">
        <v>26</v>
      </c>
      <c r="E126" s="16" t="s">
        <v>785</v>
      </c>
      <c r="F126" s="13">
        <f t="shared" si="1"/>
        <v>30</v>
      </c>
      <c r="G126" s="13">
        <f t="shared" si="2"/>
        <v>28</v>
      </c>
      <c r="H126" s="13">
        <f t="shared" si="3"/>
        <v>3</v>
      </c>
      <c r="I126" s="14" t="str">
        <f t="shared" si="4"/>
        <v>marzo</v>
      </c>
      <c r="J126" s="14" t="s">
        <v>786</v>
      </c>
      <c r="K126" s="14" t="s">
        <v>53</v>
      </c>
      <c r="L126" s="14" t="s">
        <v>787</v>
      </c>
      <c r="M126" s="14">
        <v>7.6057627E7</v>
      </c>
      <c r="N126" s="14" t="s">
        <v>31</v>
      </c>
      <c r="O126" s="14" t="s">
        <v>32</v>
      </c>
      <c r="P126" s="16" t="s">
        <v>788</v>
      </c>
      <c r="Q126" s="13">
        <f t="shared" si="5"/>
        <v>8</v>
      </c>
      <c r="R126" s="13">
        <f t="shared" si="6"/>
        <v>7</v>
      </c>
      <c r="S126" s="14" t="s">
        <v>360</v>
      </c>
      <c r="T126" s="8" t="s">
        <v>35</v>
      </c>
      <c r="U126" s="14" t="s">
        <v>36</v>
      </c>
      <c r="V126" s="13" t="s">
        <v>37</v>
      </c>
      <c r="W126" s="9" t="s">
        <v>38</v>
      </c>
      <c r="X126" s="13" t="s">
        <v>38</v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ht="18.0" hidden="1" customHeight="1">
      <c r="A127" s="3">
        <v>133.0</v>
      </c>
      <c r="B127" s="4" t="s">
        <v>789</v>
      </c>
      <c r="C127" s="5" t="s">
        <v>790</v>
      </c>
      <c r="D127" s="6" t="s">
        <v>26</v>
      </c>
      <c r="E127" s="7" t="s">
        <v>791</v>
      </c>
      <c r="F127" s="5">
        <f t="shared" si="1"/>
        <v>70</v>
      </c>
      <c r="G127" s="5">
        <f t="shared" si="2"/>
        <v>15</v>
      </c>
      <c r="H127" s="5">
        <f t="shared" si="3"/>
        <v>4</v>
      </c>
      <c r="I127" s="6" t="str">
        <f t="shared" si="4"/>
        <v>abril</v>
      </c>
      <c r="J127" s="6" t="s">
        <v>792</v>
      </c>
      <c r="K127" s="6" t="s">
        <v>89</v>
      </c>
      <c r="L127" s="23" t="s">
        <v>793</v>
      </c>
      <c r="M127" s="6">
        <v>9.86685076E8</v>
      </c>
      <c r="N127" s="6" t="s">
        <v>61</v>
      </c>
      <c r="O127" s="6" t="s">
        <v>32</v>
      </c>
      <c r="P127" s="7" t="s">
        <v>794</v>
      </c>
      <c r="Q127" s="5">
        <f t="shared" si="5"/>
        <v>18</v>
      </c>
      <c r="R127" s="5">
        <f t="shared" si="6"/>
        <v>5</v>
      </c>
      <c r="S127" s="6" t="s">
        <v>225</v>
      </c>
      <c r="T127" s="8" t="s">
        <v>35</v>
      </c>
      <c r="U127" s="6" t="s">
        <v>36</v>
      </c>
      <c r="V127" s="5" t="s">
        <v>37</v>
      </c>
      <c r="W127" s="9" t="s">
        <v>38</v>
      </c>
      <c r="X127" s="5" t="s">
        <v>38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8.0" hidden="1" customHeight="1">
      <c r="A128" s="11">
        <v>135.0</v>
      </c>
      <c r="B128" s="12" t="s">
        <v>795</v>
      </c>
      <c r="C128" s="13" t="s">
        <v>796</v>
      </c>
      <c r="D128" s="14" t="s">
        <v>26</v>
      </c>
      <c r="E128" s="16" t="s">
        <v>797</v>
      </c>
      <c r="F128" s="13">
        <f t="shared" si="1"/>
        <v>37</v>
      </c>
      <c r="G128" s="13">
        <f t="shared" si="2"/>
        <v>3</v>
      </c>
      <c r="H128" s="13" t="s">
        <v>798</v>
      </c>
      <c r="I128" s="14" t="str">
        <f t="shared" si="4"/>
        <v>enero</v>
      </c>
      <c r="J128" s="14" t="s">
        <v>799</v>
      </c>
      <c r="K128" s="14" t="s">
        <v>29</v>
      </c>
      <c r="L128" s="14" t="s">
        <v>800</v>
      </c>
      <c r="M128" s="14">
        <v>3.2145266E7</v>
      </c>
      <c r="N128" s="14" t="s">
        <v>31</v>
      </c>
      <c r="O128" s="14" t="s">
        <v>32</v>
      </c>
      <c r="P128" s="16" t="s">
        <v>801</v>
      </c>
      <c r="Q128" s="22">
        <f t="shared" si="5"/>
        <v>3</v>
      </c>
      <c r="R128" s="13">
        <f t="shared" si="6"/>
        <v>11</v>
      </c>
      <c r="S128" s="14" t="s">
        <v>34</v>
      </c>
      <c r="T128" s="8" t="s">
        <v>35</v>
      </c>
      <c r="U128" s="14" t="s">
        <v>47</v>
      </c>
      <c r="V128" s="13" t="s">
        <v>48</v>
      </c>
      <c r="W128" s="9" t="s">
        <v>38</v>
      </c>
      <c r="X128" s="13" t="s">
        <v>38</v>
      </c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ht="18.0" hidden="1" customHeight="1">
      <c r="A129" s="3">
        <v>136.0</v>
      </c>
      <c r="B129" s="4" t="s">
        <v>802</v>
      </c>
      <c r="C129" s="5" t="s">
        <v>803</v>
      </c>
      <c r="D129" s="6" t="s">
        <v>26</v>
      </c>
      <c r="E129" s="7" t="s">
        <v>804</v>
      </c>
      <c r="F129" s="5">
        <f t="shared" si="1"/>
        <v>35</v>
      </c>
      <c r="G129" s="5">
        <f t="shared" si="2"/>
        <v>13</v>
      </c>
      <c r="H129" s="5">
        <f t="shared" ref="H129:H180" si="7">MONTH(E128)</f>
        <v>9</v>
      </c>
      <c r="I129" s="6" t="str">
        <f t="shared" si="4"/>
        <v>septiembre</v>
      </c>
      <c r="J129" s="6" t="s">
        <v>805</v>
      </c>
      <c r="K129" s="6" t="s">
        <v>29</v>
      </c>
      <c r="L129" s="6" t="s">
        <v>806</v>
      </c>
      <c r="M129" s="6">
        <v>9.1342171E7</v>
      </c>
      <c r="N129" s="6" t="s">
        <v>31</v>
      </c>
      <c r="O129" s="6" t="s">
        <v>32</v>
      </c>
      <c r="P129" s="7" t="s">
        <v>807</v>
      </c>
      <c r="Q129" s="5">
        <f t="shared" si="5"/>
        <v>4</v>
      </c>
      <c r="R129" s="5">
        <f t="shared" si="6"/>
        <v>9</v>
      </c>
      <c r="S129" s="6" t="s">
        <v>34</v>
      </c>
      <c r="T129" s="8" t="s">
        <v>35</v>
      </c>
      <c r="U129" s="6" t="s">
        <v>36</v>
      </c>
      <c r="V129" s="5" t="s">
        <v>37</v>
      </c>
      <c r="W129" s="9" t="s">
        <v>38</v>
      </c>
      <c r="X129" s="5" t="s">
        <v>38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8.0" hidden="1" customHeight="1">
      <c r="A130" s="11">
        <v>137.0</v>
      </c>
      <c r="B130" s="12" t="s">
        <v>808</v>
      </c>
      <c r="C130" s="13" t="s">
        <v>809</v>
      </c>
      <c r="D130" s="14" t="s">
        <v>26</v>
      </c>
      <c r="E130" s="16" t="s">
        <v>810</v>
      </c>
      <c r="F130" s="13">
        <f t="shared" si="1"/>
        <v>37</v>
      </c>
      <c r="G130" s="13">
        <f t="shared" si="2"/>
        <v>26</v>
      </c>
      <c r="H130" s="13">
        <f t="shared" si="7"/>
        <v>6</v>
      </c>
      <c r="I130" s="14" t="str">
        <f t="shared" si="4"/>
        <v>junio</v>
      </c>
      <c r="J130" s="14" t="s">
        <v>811</v>
      </c>
      <c r="K130" s="14" t="s">
        <v>29</v>
      </c>
      <c r="L130" s="14" t="s">
        <v>812</v>
      </c>
      <c r="M130" s="14">
        <v>9.409336E7</v>
      </c>
      <c r="N130" s="14" t="s">
        <v>61</v>
      </c>
      <c r="O130" s="14" t="s">
        <v>32</v>
      </c>
      <c r="P130" s="16" t="s">
        <v>813</v>
      </c>
      <c r="Q130" s="13">
        <f t="shared" si="5"/>
        <v>13</v>
      </c>
      <c r="R130" s="13">
        <f t="shared" si="6"/>
        <v>3</v>
      </c>
      <c r="S130" s="14" t="s">
        <v>46</v>
      </c>
      <c r="T130" s="8" t="s">
        <v>35</v>
      </c>
      <c r="U130" s="14" t="s">
        <v>36</v>
      </c>
      <c r="V130" s="13" t="s">
        <v>37</v>
      </c>
      <c r="W130" s="9" t="s">
        <v>38</v>
      </c>
      <c r="X130" s="13" t="s">
        <v>38</v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ht="18.0" hidden="1" customHeight="1">
      <c r="A131" s="3">
        <v>138.0</v>
      </c>
      <c r="B131" s="4" t="s">
        <v>814</v>
      </c>
      <c r="C131" s="5" t="s">
        <v>815</v>
      </c>
      <c r="D131" s="6" t="s">
        <v>26</v>
      </c>
      <c r="E131" s="7" t="s">
        <v>816</v>
      </c>
      <c r="F131" s="5">
        <f t="shared" si="1"/>
        <v>49</v>
      </c>
      <c r="G131" s="5">
        <f t="shared" si="2"/>
        <v>5</v>
      </c>
      <c r="H131" s="5">
        <f t="shared" si="7"/>
        <v>8</v>
      </c>
      <c r="I131" s="6" t="str">
        <f t="shared" si="4"/>
        <v>agosto</v>
      </c>
      <c r="J131" s="6" t="s">
        <v>817</v>
      </c>
      <c r="K131" s="6" t="s">
        <v>29</v>
      </c>
      <c r="L131" s="6" t="s">
        <v>818</v>
      </c>
      <c r="M131" s="6">
        <v>5.7451258E7</v>
      </c>
      <c r="N131" s="6" t="s">
        <v>249</v>
      </c>
      <c r="O131" s="6" t="s">
        <v>32</v>
      </c>
      <c r="P131" s="7" t="s">
        <v>819</v>
      </c>
      <c r="Q131" s="5">
        <f t="shared" si="5"/>
        <v>27</v>
      </c>
      <c r="R131" s="5">
        <f t="shared" si="6"/>
        <v>6</v>
      </c>
      <c r="S131" s="6" t="s">
        <v>265</v>
      </c>
      <c r="T131" s="8" t="s">
        <v>35</v>
      </c>
      <c r="U131" s="6" t="s">
        <v>36</v>
      </c>
      <c r="V131" s="5" t="s">
        <v>37</v>
      </c>
      <c r="W131" s="9" t="s">
        <v>38</v>
      </c>
      <c r="X131" s="5" t="s">
        <v>38</v>
      </c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8.0" hidden="1" customHeight="1">
      <c r="A132" s="11">
        <v>139.0</v>
      </c>
      <c r="B132" s="12" t="s">
        <v>820</v>
      </c>
      <c r="C132" s="13" t="s">
        <v>821</v>
      </c>
      <c r="D132" s="14" t="s">
        <v>228</v>
      </c>
      <c r="E132" s="15">
        <v>13992.0</v>
      </c>
      <c r="F132" s="13">
        <f t="shared" si="1"/>
        <v>64</v>
      </c>
      <c r="G132" s="13">
        <f t="shared" si="2"/>
        <v>5</v>
      </c>
      <c r="H132" s="13">
        <f t="shared" si="7"/>
        <v>2</v>
      </c>
      <c r="I132" s="14" t="str">
        <f t="shared" si="4"/>
        <v>febrero</v>
      </c>
      <c r="J132" s="14" t="s">
        <v>822</v>
      </c>
      <c r="K132" s="14" t="s">
        <v>29</v>
      </c>
      <c r="L132" s="14" t="s">
        <v>823</v>
      </c>
      <c r="M132" s="14">
        <v>9.3372025E7</v>
      </c>
      <c r="N132" s="14" t="s">
        <v>70</v>
      </c>
      <c r="O132" s="14" t="s">
        <v>92</v>
      </c>
      <c r="P132" s="16" t="s">
        <v>824</v>
      </c>
      <c r="Q132" s="13">
        <f t="shared" si="5"/>
        <v>17</v>
      </c>
      <c r="R132" s="13">
        <f t="shared" si="6"/>
        <v>11</v>
      </c>
      <c r="S132" s="14" t="s">
        <v>825</v>
      </c>
      <c r="T132" s="8" t="s">
        <v>35</v>
      </c>
      <c r="U132" s="14" t="s">
        <v>36</v>
      </c>
      <c r="V132" s="13" t="s">
        <v>37</v>
      </c>
      <c r="W132" s="26"/>
      <c r="X132" s="26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8.0" customHeight="1">
      <c r="A133" s="3">
        <v>140.0</v>
      </c>
      <c r="B133" s="4" t="s">
        <v>826</v>
      </c>
      <c r="C133" s="5" t="s">
        <v>827</v>
      </c>
      <c r="D133" s="6" t="s">
        <v>26</v>
      </c>
      <c r="E133" s="7" t="s">
        <v>828</v>
      </c>
      <c r="F133" s="5">
        <f t="shared" si="1"/>
        <v>88</v>
      </c>
      <c r="G133" s="5">
        <f t="shared" si="2"/>
        <v>22</v>
      </c>
      <c r="H133" s="5">
        <f t="shared" si="7"/>
        <v>4</v>
      </c>
      <c r="I133" s="6" t="str">
        <f t="shared" si="4"/>
        <v>abril</v>
      </c>
      <c r="J133" s="6" t="s">
        <v>829</v>
      </c>
      <c r="K133" s="6" t="s">
        <v>53</v>
      </c>
      <c r="L133" s="6" t="s">
        <v>830</v>
      </c>
      <c r="M133" s="6">
        <v>4.2305184E7</v>
      </c>
      <c r="N133" s="6" t="s">
        <v>31</v>
      </c>
      <c r="O133" s="6" t="s">
        <v>32</v>
      </c>
      <c r="P133" s="7" t="s">
        <v>831</v>
      </c>
      <c r="Q133" s="5">
        <f t="shared" si="5"/>
        <v>5</v>
      </c>
      <c r="R133" s="5">
        <f t="shared" si="6"/>
        <v>9</v>
      </c>
      <c r="S133" s="6" t="s">
        <v>832</v>
      </c>
      <c r="T133" s="8" t="s">
        <v>35</v>
      </c>
      <c r="U133" s="6" t="s">
        <v>36</v>
      </c>
      <c r="V133" s="5" t="s">
        <v>37</v>
      </c>
      <c r="W133" s="28"/>
      <c r="X133" s="5" t="s">
        <v>38</v>
      </c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30"/>
      <c r="AK133" s="29"/>
      <c r="AL133" s="30"/>
      <c r="AM133" s="30"/>
      <c r="AN133" s="30"/>
    </row>
    <row r="134" ht="18.0" hidden="1" customHeight="1">
      <c r="A134" s="11">
        <v>141.0</v>
      </c>
      <c r="B134" s="12" t="s">
        <v>833</v>
      </c>
      <c r="C134" s="13" t="s">
        <v>834</v>
      </c>
      <c r="D134" s="14" t="s">
        <v>26</v>
      </c>
      <c r="E134" s="16" t="s">
        <v>835</v>
      </c>
      <c r="F134" s="13">
        <f t="shared" si="1"/>
        <v>40</v>
      </c>
      <c r="G134" s="13">
        <f t="shared" si="2"/>
        <v>28</v>
      </c>
      <c r="H134" s="13">
        <f t="shared" si="7"/>
        <v>10</v>
      </c>
      <c r="I134" s="14" t="str">
        <f t="shared" si="4"/>
        <v>octubre</v>
      </c>
      <c r="J134" s="14" t="s">
        <v>836</v>
      </c>
      <c r="K134" s="14" t="s">
        <v>43</v>
      </c>
      <c r="L134" s="14" t="s">
        <v>837</v>
      </c>
      <c r="M134" s="14">
        <v>9.7172035E7</v>
      </c>
      <c r="N134" s="14" t="s">
        <v>83</v>
      </c>
      <c r="O134" s="14" t="s">
        <v>100</v>
      </c>
      <c r="P134" s="16" t="s">
        <v>838</v>
      </c>
      <c r="Q134" s="13">
        <f t="shared" si="5"/>
        <v>6</v>
      </c>
      <c r="R134" s="13">
        <f t="shared" si="6"/>
        <v>9</v>
      </c>
      <c r="S134" s="14" t="s">
        <v>250</v>
      </c>
      <c r="T134" s="13">
        <v>1.0</v>
      </c>
      <c r="U134" s="14" t="s">
        <v>36</v>
      </c>
      <c r="V134" s="13" t="s">
        <v>37</v>
      </c>
      <c r="W134" s="26"/>
      <c r="X134" s="13" t="s">
        <v>38</v>
      </c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31"/>
      <c r="AK134" s="27"/>
      <c r="AL134" s="31"/>
      <c r="AM134" s="31"/>
      <c r="AN134" s="31"/>
    </row>
    <row r="135" ht="18.0" hidden="1" customHeight="1">
      <c r="A135" s="3">
        <v>142.0</v>
      </c>
      <c r="B135" s="4" t="s">
        <v>839</v>
      </c>
      <c r="C135" s="5" t="s">
        <v>840</v>
      </c>
      <c r="D135" s="6" t="s">
        <v>26</v>
      </c>
      <c r="E135" s="20">
        <v>35720.0</v>
      </c>
      <c r="F135" s="5">
        <f t="shared" si="1"/>
        <v>44</v>
      </c>
      <c r="G135" s="5">
        <f t="shared" si="2"/>
        <v>27</v>
      </c>
      <c r="H135" s="5">
        <f t="shared" si="7"/>
        <v>5</v>
      </c>
      <c r="I135" s="6" t="str">
        <f t="shared" si="4"/>
        <v>mayo</v>
      </c>
      <c r="J135" s="6" t="s">
        <v>841</v>
      </c>
      <c r="K135" s="6" t="s">
        <v>89</v>
      </c>
      <c r="L135" s="6" t="s">
        <v>842</v>
      </c>
      <c r="M135" s="6">
        <v>5.6986609523E10</v>
      </c>
      <c r="N135" s="6" t="s">
        <v>70</v>
      </c>
      <c r="O135" s="6" t="s">
        <v>32</v>
      </c>
      <c r="P135" s="7" t="s">
        <v>843</v>
      </c>
      <c r="Q135" s="5">
        <f t="shared" si="5"/>
        <v>16</v>
      </c>
      <c r="R135" s="5">
        <f t="shared" si="6"/>
        <v>1</v>
      </c>
      <c r="S135" s="6" t="s">
        <v>64</v>
      </c>
      <c r="T135" s="8" t="s">
        <v>35</v>
      </c>
      <c r="U135" s="6" t="s">
        <v>36</v>
      </c>
      <c r="V135" s="5" t="s">
        <v>37</v>
      </c>
      <c r="W135" s="9" t="s">
        <v>38</v>
      </c>
      <c r="X135" s="5" t="s">
        <v>38</v>
      </c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8.0" hidden="1" customHeight="1">
      <c r="A136" s="11">
        <v>143.0</v>
      </c>
      <c r="B136" s="12" t="s">
        <v>844</v>
      </c>
      <c r="C136" s="13" t="s">
        <v>845</v>
      </c>
      <c r="D136" s="14" t="s">
        <v>26</v>
      </c>
      <c r="E136" s="15">
        <v>34202.0</v>
      </c>
      <c r="F136" s="13">
        <f t="shared" si="1"/>
        <v>28</v>
      </c>
      <c r="G136" s="13">
        <f t="shared" si="2"/>
        <v>17</v>
      </c>
      <c r="H136" s="13">
        <f t="shared" si="7"/>
        <v>10</v>
      </c>
      <c r="I136" s="14" t="str">
        <f t="shared" si="4"/>
        <v>octubre</v>
      </c>
      <c r="J136" s="14" t="s">
        <v>846</v>
      </c>
      <c r="K136" s="14" t="s">
        <v>68</v>
      </c>
      <c r="L136" s="14" t="s">
        <v>847</v>
      </c>
      <c r="M136" s="14">
        <v>9.78654966E8</v>
      </c>
      <c r="N136" s="14" t="s">
        <v>31</v>
      </c>
      <c r="O136" s="14" t="s">
        <v>32</v>
      </c>
      <c r="P136" s="16" t="s">
        <v>848</v>
      </c>
      <c r="Q136" s="13">
        <f t="shared" si="5"/>
        <v>1</v>
      </c>
      <c r="R136" s="13">
        <f t="shared" si="6"/>
        <v>6</v>
      </c>
      <c r="S136" s="14" t="s">
        <v>250</v>
      </c>
      <c r="T136" s="13">
        <v>2.0</v>
      </c>
      <c r="U136" s="14" t="s">
        <v>36</v>
      </c>
      <c r="V136" s="13" t="s">
        <v>37</v>
      </c>
      <c r="W136" s="26"/>
      <c r="X136" s="1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31"/>
      <c r="AK136" s="27"/>
      <c r="AL136" s="31"/>
      <c r="AM136" s="31"/>
      <c r="AN136" s="31"/>
    </row>
    <row r="137" ht="18.0" hidden="1" customHeight="1">
      <c r="A137" s="3">
        <v>144.0</v>
      </c>
      <c r="B137" s="4" t="s">
        <v>849</v>
      </c>
      <c r="C137" s="5" t="s">
        <v>850</v>
      </c>
      <c r="D137" s="6" t="s">
        <v>26</v>
      </c>
      <c r="E137" s="20">
        <v>35976.0</v>
      </c>
      <c r="F137" s="5">
        <f t="shared" si="1"/>
        <v>32</v>
      </c>
      <c r="G137" s="5">
        <f t="shared" si="2"/>
        <v>21</v>
      </c>
      <c r="H137" s="5">
        <f t="shared" si="7"/>
        <v>8</v>
      </c>
      <c r="I137" s="6" t="str">
        <f t="shared" si="4"/>
        <v>agosto</v>
      </c>
      <c r="J137" s="6" t="s">
        <v>851</v>
      </c>
      <c r="K137" s="6" t="s">
        <v>852</v>
      </c>
      <c r="L137" s="6" t="s">
        <v>853</v>
      </c>
      <c r="M137" s="6">
        <v>5.6974527614E10</v>
      </c>
      <c r="N137" s="6" t="s">
        <v>854</v>
      </c>
      <c r="O137" s="6" t="s">
        <v>62</v>
      </c>
      <c r="P137" s="7" t="s">
        <v>855</v>
      </c>
      <c r="Q137" s="5">
        <f t="shared" si="5"/>
        <v>4</v>
      </c>
      <c r="R137" s="5">
        <f t="shared" si="6"/>
        <v>7</v>
      </c>
      <c r="S137" s="6" t="s">
        <v>856</v>
      </c>
      <c r="T137" s="8" t="s">
        <v>35</v>
      </c>
      <c r="U137" s="6" t="s">
        <v>127</v>
      </c>
      <c r="V137" s="5" t="s">
        <v>37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8.0" hidden="1" customHeight="1">
      <c r="A138" s="11">
        <v>145.0</v>
      </c>
      <c r="B138" s="12" t="s">
        <v>857</v>
      </c>
      <c r="C138" s="13" t="s">
        <v>858</v>
      </c>
      <c r="D138" s="14" t="s">
        <v>26</v>
      </c>
      <c r="E138" s="16" t="s">
        <v>859</v>
      </c>
      <c r="F138" s="13">
        <f t="shared" si="1"/>
        <v>27</v>
      </c>
      <c r="G138" s="13">
        <f t="shared" si="2"/>
        <v>30</v>
      </c>
      <c r="H138" s="13">
        <f t="shared" si="7"/>
        <v>6</v>
      </c>
      <c r="I138" s="14" t="str">
        <f t="shared" si="4"/>
        <v>junio</v>
      </c>
      <c r="J138" s="14" t="s">
        <v>860</v>
      </c>
      <c r="K138" s="14" t="s">
        <v>68</v>
      </c>
      <c r="L138" s="14" t="s">
        <v>861</v>
      </c>
      <c r="M138" s="14">
        <v>6.3899098E7</v>
      </c>
      <c r="N138" s="14" t="s">
        <v>91</v>
      </c>
      <c r="O138" s="14" t="s">
        <v>100</v>
      </c>
      <c r="P138" s="16" t="s">
        <v>862</v>
      </c>
      <c r="Q138" s="13">
        <f t="shared" si="5"/>
        <v>1</v>
      </c>
      <c r="R138" s="13">
        <f t="shared" si="6"/>
        <v>8</v>
      </c>
      <c r="S138" s="14" t="s">
        <v>64</v>
      </c>
      <c r="T138" s="8" t="s">
        <v>35</v>
      </c>
      <c r="U138" s="14" t="s">
        <v>36</v>
      </c>
      <c r="V138" s="13" t="s">
        <v>37</v>
      </c>
      <c r="W138" s="9" t="s">
        <v>38</v>
      </c>
      <c r="X138" s="13" t="s">
        <v>38</v>
      </c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31"/>
      <c r="AK138" s="27"/>
      <c r="AL138" s="31"/>
      <c r="AM138" s="31"/>
      <c r="AN138" s="31"/>
    </row>
    <row r="139" ht="18.0" hidden="1" customHeight="1">
      <c r="A139" s="3">
        <v>146.0</v>
      </c>
      <c r="B139" s="4" t="s">
        <v>863</v>
      </c>
      <c r="C139" s="5" t="s">
        <v>864</v>
      </c>
      <c r="D139" s="6" t="s">
        <v>26</v>
      </c>
      <c r="E139" s="7" t="s">
        <v>865</v>
      </c>
      <c r="F139" s="5">
        <f t="shared" si="1"/>
        <v>50</v>
      </c>
      <c r="G139" s="5">
        <f t="shared" si="2"/>
        <v>29</v>
      </c>
      <c r="H139" s="5">
        <f t="shared" si="7"/>
        <v>11</v>
      </c>
      <c r="I139" s="6" t="str">
        <f t="shared" si="4"/>
        <v>noviembre</v>
      </c>
      <c r="J139" s="6" t="s">
        <v>866</v>
      </c>
      <c r="K139" s="6" t="s">
        <v>29</v>
      </c>
      <c r="L139" s="23" t="s">
        <v>867</v>
      </c>
      <c r="M139" s="6">
        <v>7.5392167E7</v>
      </c>
      <c r="N139" s="6" t="s">
        <v>868</v>
      </c>
      <c r="O139" s="6" t="s">
        <v>92</v>
      </c>
      <c r="P139" s="7" t="s">
        <v>869</v>
      </c>
      <c r="Q139" s="5">
        <f t="shared" si="5"/>
        <v>11</v>
      </c>
      <c r="R139" s="5">
        <f t="shared" si="6"/>
        <v>10</v>
      </c>
      <c r="S139" s="6" t="s">
        <v>250</v>
      </c>
      <c r="T139" s="5">
        <v>2.0</v>
      </c>
      <c r="U139" s="6" t="s">
        <v>36</v>
      </c>
      <c r="V139" s="5" t="s">
        <v>37</v>
      </c>
      <c r="W139" s="28"/>
      <c r="X139" s="5" t="s">
        <v>38</v>
      </c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30"/>
      <c r="AK139" s="29"/>
      <c r="AL139" s="30"/>
      <c r="AM139" s="30"/>
      <c r="AN139" s="30"/>
    </row>
    <row r="140" ht="18.0" hidden="1" customHeight="1">
      <c r="A140" s="11">
        <v>147.0</v>
      </c>
      <c r="B140" s="12" t="s">
        <v>870</v>
      </c>
      <c r="C140" s="13" t="s">
        <v>871</v>
      </c>
      <c r="D140" s="14" t="s">
        <v>26</v>
      </c>
      <c r="E140" s="16" t="s">
        <v>872</v>
      </c>
      <c r="F140" s="13">
        <f t="shared" si="1"/>
        <v>44</v>
      </c>
      <c r="G140" s="13">
        <f t="shared" si="2"/>
        <v>16</v>
      </c>
      <c r="H140" s="13">
        <f t="shared" si="7"/>
        <v>3</v>
      </c>
      <c r="I140" s="14" t="str">
        <f t="shared" si="4"/>
        <v>marzo</v>
      </c>
      <c r="J140" s="14" t="s">
        <v>873</v>
      </c>
      <c r="K140" s="14" t="s">
        <v>571</v>
      </c>
      <c r="L140" s="14" t="s">
        <v>874</v>
      </c>
      <c r="M140" s="14">
        <v>8.9425357E7</v>
      </c>
      <c r="N140" s="14" t="s">
        <v>83</v>
      </c>
      <c r="O140" s="14" t="s">
        <v>32</v>
      </c>
      <c r="P140" s="16" t="s">
        <v>875</v>
      </c>
      <c r="Q140" s="13">
        <f t="shared" si="5"/>
        <v>15</v>
      </c>
      <c r="R140" s="13">
        <f t="shared" si="6"/>
        <v>5</v>
      </c>
      <c r="S140" s="14" t="s">
        <v>284</v>
      </c>
      <c r="T140" s="8" t="s">
        <v>35</v>
      </c>
      <c r="U140" s="14" t="s">
        <v>47</v>
      </c>
      <c r="V140" s="13" t="s">
        <v>48</v>
      </c>
      <c r="W140" s="9" t="s">
        <v>38</v>
      </c>
      <c r="X140" s="13" t="s">
        <v>38</v>
      </c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31"/>
      <c r="AK140" s="27"/>
      <c r="AL140" s="31"/>
      <c r="AM140" s="31"/>
      <c r="AN140" s="31"/>
    </row>
    <row r="141" ht="18.0" hidden="1" customHeight="1">
      <c r="A141" s="3">
        <v>148.0</v>
      </c>
      <c r="B141" s="4" t="s">
        <v>876</v>
      </c>
      <c r="C141" s="5" t="s">
        <v>877</v>
      </c>
      <c r="D141" s="6" t="s">
        <v>41</v>
      </c>
      <c r="E141" s="7" t="s">
        <v>878</v>
      </c>
      <c r="F141" s="5">
        <f t="shared" si="1"/>
        <v>30</v>
      </c>
      <c r="G141" s="5">
        <f t="shared" si="2"/>
        <v>19</v>
      </c>
      <c r="H141" s="5">
        <f t="shared" si="7"/>
        <v>1</v>
      </c>
      <c r="I141" s="6" t="str">
        <f t="shared" si="4"/>
        <v>enero</v>
      </c>
      <c r="J141" s="6" t="s">
        <v>879</v>
      </c>
      <c r="K141" s="6" t="s">
        <v>89</v>
      </c>
      <c r="L141" s="6" t="s">
        <v>880</v>
      </c>
      <c r="M141" s="6">
        <v>9.6270878E7</v>
      </c>
      <c r="N141" s="6" t="s">
        <v>91</v>
      </c>
      <c r="O141" s="6" t="s">
        <v>32</v>
      </c>
      <c r="P141" s="7" t="s">
        <v>881</v>
      </c>
      <c r="Q141" s="5">
        <f t="shared" si="5"/>
        <v>5</v>
      </c>
      <c r="R141" s="5">
        <f t="shared" si="6"/>
        <v>1</v>
      </c>
      <c r="S141" s="6" t="s">
        <v>225</v>
      </c>
      <c r="T141" s="8" t="s">
        <v>35</v>
      </c>
      <c r="U141" s="6" t="s">
        <v>36</v>
      </c>
      <c r="V141" s="5" t="s">
        <v>37</v>
      </c>
      <c r="W141" s="28"/>
      <c r="X141" s="5" t="s">
        <v>38</v>
      </c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30"/>
      <c r="AK141" s="28"/>
      <c r="AL141" s="30"/>
      <c r="AM141" s="30"/>
      <c r="AN141" s="30"/>
    </row>
    <row r="142" ht="18.0" hidden="1" customHeight="1">
      <c r="A142" s="11">
        <v>149.0</v>
      </c>
      <c r="B142" s="12" t="s">
        <v>882</v>
      </c>
      <c r="C142" s="13" t="s">
        <v>883</v>
      </c>
      <c r="D142" s="14" t="s">
        <v>41</v>
      </c>
      <c r="E142" s="16" t="s">
        <v>884</v>
      </c>
      <c r="F142" s="13">
        <f t="shared" si="1"/>
        <v>57</v>
      </c>
      <c r="G142" s="13">
        <f t="shared" si="2"/>
        <v>6</v>
      </c>
      <c r="H142" s="13">
        <f t="shared" si="7"/>
        <v>1</v>
      </c>
      <c r="I142" s="14" t="str">
        <f t="shared" si="4"/>
        <v>enero</v>
      </c>
      <c r="J142" s="14" t="s">
        <v>885</v>
      </c>
      <c r="K142" s="14" t="s">
        <v>29</v>
      </c>
      <c r="L142" s="14" t="s">
        <v>886</v>
      </c>
      <c r="M142" s="14">
        <v>6.4019416E7</v>
      </c>
      <c r="N142" s="14" t="s">
        <v>31</v>
      </c>
      <c r="O142" s="14" t="s">
        <v>32</v>
      </c>
      <c r="P142" s="16" t="s">
        <v>887</v>
      </c>
      <c r="Q142" s="13">
        <f t="shared" si="5"/>
        <v>21</v>
      </c>
      <c r="R142" s="13">
        <f t="shared" si="6"/>
        <v>9</v>
      </c>
      <c r="S142" s="14" t="s">
        <v>888</v>
      </c>
      <c r="T142" s="8" t="s">
        <v>35</v>
      </c>
      <c r="U142" s="14" t="s">
        <v>47</v>
      </c>
      <c r="V142" s="13" t="s">
        <v>48</v>
      </c>
      <c r="W142" s="17"/>
      <c r="X142" s="13" t="s">
        <v>38</v>
      </c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31"/>
      <c r="AK142" s="27"/>
      <c r="AL142" s="31"/>
      <c r="AM142" s="31"/>
      <c r="AN142" s="31"/>
    </row>
    <row r="143" ht="18.0" hidden="1" customHeight="1">
      <c r="A143" s="3">
        <v>150.0</v>
      </c>
      <c r="B143" s="4" t="s">
        <v>889</v>
      </c>
      <c r="C143" s="5" t="s">
        <v>890</v>
      </c>
      <c r="D143" s="6" t="s">
        <v>26</v>
      </c>
      <c r="E143" s="7" t="s">
        <v>891</v>
      </c>
      <c r="F143" s="5">
        <f t="shared" si="1"/>
        <v>48</v>
      </c>
      <c r="G143" s="5">
        <f t="shared" si="2"/>
        <v>20</v>
      </c>
      <c r="H143" s="5">
        <f t="shared" si="7"/>
        <v>4</v>
      </c>
      <c r="I143" s="6" t="str">
        <f t="shared" si="4"/>
        <v>abril</v>
      </c>
      <c r="J143" s="6" t="s">
        <v>892</v>
      </c>
      <c r="K143" s="6" t="s">
        <v>68</v>
      </c>
      <c r="L143" s="6" t="s">
        <v>893</v>
      </c>
      <c r="M143" s="6">
        <v>9.4509038E7</v>
      </c>
      <c r="N143" s="6" t="s">
        <v>91</v>
      </c>
      <c r="O143" s="6" t="s">
        <v>62</v>
      </c>
      <c r="P143" s="7" t="s">
        <v>894</v>
      </c>
      <c r="Q143" s="5">
        <f t="shared" si="5"/>
        <v>5</v>
      </c>
      <c r="R143" s="5">
        <f t="shared" si="6"/>
        <v>0</v>
      </c>
      <c r="S143" s="6" t="s">
        <v>94</v>
      </c>
      <c r="T143" s="8" t="s">
        <v>35</v>
      </c>
      <c r="U143" s="6" t="s">
        <v>36</v>
      </c>
      <c r="V143" s="5" t="s">
        <v>37</v>
      </c>
      <c r="W143" s="28"/>
      <c r="X143" s="10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30"/>
      <c r="AK143" s="29"/>
      <c r="AL143" s="30"/>
      <c r="AM143" s="30"/>
      <c r="AN143" s="30"/>
    </row>
    <row r="144" ht="18.0" hidden="1" customHeight="1">
      <c r="A144" s="11">
        <v>151.0</v>
      </c>
      <c r="B144" s="12" t="s">
        <v>895</v>
      </c>
      <c r="C144" s="13" t="s">
        <v>896</v>
      </c>
      <c r="D144" s="14" t="s">
        <v>26</v>
      </c>
      <c r="E144" s="16" t="s">
        <v>897</v>
      </c>
      <c r="F144" s="13">
        <f t="shared" si="1"/>
        <v>43</v>
      </c>
      <c r="G144" s="13">
        <f t="shared" si="2"/>
        <v>7</v>
      </c>
      <c r="H144" s="13">
        <f t="shared" si="7"/>
        <v>3</v>
      </c>
      <c r="I144" s="14" t="str">
        <f t="shared" si="4"/>
        <v>marzo</v>
      </c>
      <c r="J144" s="14" t="s">
        <v>898</v>
      </c>
      <c r="K144" s="14" t="s">
        <v>68</v>
      </c>
      <c r="L144" s="14" t="s">
        <v>899</v>
      </c>
      <c r="M144" s="14">
        <v>9.0202529E7</v>
      </c>
      <c r="N144" s="14" t="s">
        <v>91</v>
      </c>
      <c r="O144" s="14" t="s">
        <v>32</v>
      </c>
      <c r="P144" s="16" t="s">
        <v>900</v>
      </c>
      <c r="Q144" s="13">
        <f t="shared" si="5"/>
        <v>13</v>
      </c>
      <c r="R144" s="13">
        <f t="shared" si="6"/>
        <v>5</v>
      </c>
      <c r="S144" s="14" t="s">
        <v>64</v>
      </c>
      <c r="T144" s="8" t="s">
        <v>35</v>
      </c>
      <c r="U144" s="14" t="s">
        <v>47</v>
      </c>
      <c r="V144" s="13" t="s">
        <v>48</v>
      </c>
      <c r="W144" s="9" t="s">
        <v>38</v>
      </c>
      <c r="X144" s="1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31"/>
      <c r="AK144" s="27"/>
      <c r="AL144" s="31"/>
      <c r="AM144" s="31"/>
      <c r="AN144" s="31"/>
    </row>
    <row r="145" ht="18.0" hidden="1" customHeight="1">
      <c r="A145" s="3">
        <v>152.0</v>
      </c>
      <c r="B145" s="4" t="s">
        <v>901</v>
      </c>
      <c r="C145" s="5" t="s">
        <v>902</v>
      </c>
      <c r="D145" s="6" t="s">
        <v>41</v>
      </c>
      <c r="E145" s="7" t="s">
        <v>903</v>
      </c>
      <c r="F145" s="5">
        <f t="shared" si="1"/>
        <v>50</v>
      </c>
      <c r="G145" s="5">
        <f t="shared" si="2"/>
        <v>10</v>
      </c>
      <c r="H145" s="5">
        <f t="shared" si="7"/>
        <v>10</v>
      </c>
      <c r="I145" s="6" t="str">
        <f t="shared" si="4"/>
        <v>octubre</v>
      </c>
      <c r="J145" s="6" t="s">
        <v>904</v>
      </c>
      <c r="K145" s="6" t="s">
        <v>29</v>
      </c>
      <c r="L145" s="6" t="s">
        <v>905</v>
      </c>
      <c r="M145" s="6">
        <v>9.37139418E8</v>
      </c>
      <c r="N145" s="6" t="s">
        <v>31</v>
      </c>
      <c r="O145" s="6" t="s">
        <v>32</v>
      </c>
      <c r="P145" s="7" t="s">
        <v>801</v>
      </c>
      <c r="Q145" s="32">
        <f t="shared" si="5"/>
        <v>8</v>
      </c>
      <c r="R145" s="5">
        <f t="shared" si="6"/>
        <v>6</v>
      </c>
      <c r="S145" s="6" t="s">
        <v>225</v>
      </c>
      <c r="T145" s="8" t="s">
        <v>35</v>
      </c>
      <c r="U145" s="6" t="s">
        <v>47</v>
      </c>
      <c r="V145" s="5" t="s">
        <v>48</v>
      </c>
      <c r="W145" s="9" t="s">
        <v>38</v>
      </c>
      <c r="X145" s="5" t="s">
        <v>38</v>
      </c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30"/>
      <c r="AK145" s="29"/>
      <c r="AL145" s="30"/>
      <c r="AM145" s="30"/>
      <c r="AN145" s="30"/>
    </row>
    <row r="146" ht="18.0" hidden="1" customHeight="1">
      <c r="A146" s="11">
        <v>153.0</v>
      </c>
      <c r="B146" s="12" t="s">
        <v>906</v>
      </c>
      <c r="C146" s="13" t="s">
        <v>907</v>
      </c>
      <c r="D146" s="14" t="s">
        <v>41</v>
      </c>
      <c r="E146" s="16" t="s">
        <v>908</v>
      </c>
      <c r="F146" s="13">
        <f t="shared" si="1"/>
        <v>55</v>
      </c>
      <c r="G146" s="13">
        <f t="shared" si="2"/>
        <v>7</v>
      </c>
      <c r="H146" s="13">
        <f t="shared" si="7"/>
        <v>2</v>
      </c>
      <c r="I146" s="14" t="str">
        <f t="shared" si="4"/>
        <v>febrero</v>
      </c>
      <c r="J146" s="14" t="s">
        <v>376</v>
      </c>
      <c r="K146" s="14" t="s">
        <v>29</v>
      </c>
      <c r="L146" s="14" t="s">
        <v>909</v>
      </c>
      <c r="M146" s="14">
        <v>3.296061E7</v>
      </c>
      <c r="N146" s="14" t="s">
        <v>70</v>
      </c>
      <c r="O146" s="14" t="s">
        <v>32</v>
      </c>
      <c r="P146" s="16" t="s">
        <v>910</v>
      </c>
      <c r="Q146" s="13">
        <f t="shared" si="5"/>
        <v>4</v>
      </c>
      <c r="R146" s="13">
        <f t="shared" si="6"/>
        <v>9</v>
      </c>
      <c r="S146" s="14" t="s">
        <v>911</v>
      </c>
      <c r="T146" s="8" t="s">
        <v>35</v>
      </c>
      <c r="U146" s="14" t="s">
        <v>36</v>
      </c>
      <c r="V146" s="13" t="s">
        <v>37</v>
      </c>
      <c r="W146" s="17"/>
      <c r="X146" s="13" t="s">
        <v>38</v>
      </c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31"/>
      <c r="AK146" s="27"/>
      <c r="AL146" s="31"/>
      <c r="AM146" s="31"/>
      <c r="AN146" s="31"/>
    </row>
    <row r="147" ht="18.0" hidden="1" customHeight="1">
      <c r="A147" s="3">
        <v>154.0</v>
      </c>
      <c r="B147" s="4" t="s">
        <v>912</v>
      </c>
      <c r="C147" s="5" t="s">
        <v>913</v>
      </c>
      <c r="D147" s="6" t="s">
        <v>26</v>
      </c>
      <c r="E147" s="7" t="s">
        <v>914</v>
      </c>
      <c r="F147" s="5">
        <f t="shared" si="1"/>
        <v>44</v>
      </c>
      <c r="G147" s="5">
        <f t="shared" si="2"/>
        <v>29</v>
      </c>
      <c r="H147" s="5">
        <f t="shared" si="7"/>
        <v>9</v>
      </c>
      <c r="I147" s="6" t="str">
        <f t="shared" si="4"/>
        <v>septiembre</v>
      </c>
      <c r="J147" s="6" t="s">
        <v>915</v>
      </c>
      <c r="K147" s="6" t="s">
        <v>89</v>
      </c>
      <c r="L147" s="6" t="s">
        <v>916</v>
      </c>
      <c r="M147" s="6">
        <v>9.6773683E7</v>
      </c>
      <c r="N147" s="6" t="s">
        <v>83</v>
      </c>
      <c r="O147" s="6" t="s">
        <v>100</v>
      </c>
      <c r="P147" s="7" t="s">
        <v>917</v>
      </c>
      <c r="Q147" s="5">
        <f t="shared" si="5"/>
        <v>7</v>
      </c>
      <c r="R147" s="5">
        <f t="shared" si="6"/>
        <v>6</v>
      </c>
      <c r="S147" s="6" t="s">
        <v>94</v>
      </c>
      <c r="T147" s="8" t="s">
        <v>35</v>
      </c>
      <c r="U147" s="6" t="s">
        <v>36</v>
      </c>
      <c r="V147" s="5" t="s">
        <v>37</v>
      </c>
      <c r="W147" s="28"/>
      <c r="X147" s="5" t="s">
        <v>38</v>
      </c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30"/>
      <c r="AK147" s="29"/>
      <c r="AL147" s="30"/>
      <c r="AM147" s="30"/>
      <c r="AN147" s="30"/>
    </row>
    <row r="148" ht="18.0" hidden="1" customHeight="1">
      <c r="A148" s="11">
        <v>155.0</v>
      </c>
      <c r="B148" s="12" t="s">
        <v>918</v>
      </c>
      <c r="C148" s="13" t="s">
        <v>919</v>
      </c>
      <c r="D148" s="14" t="s">
        <v>26</v>
      </c>
      <c r="E148" s="18">
        <v>33326.0</v>
      </c>
      <c r="F148" s="13">
        <f t="shared" si="1"/>
        <v>58</v>
      </c>
      <c r="G148" s="13">
        <f t="shared" si="2"/>
        <v>11</v>
      </c>
      <c r="H148" s="13">
        <f t="shared" si="7"/>
        <v>12</v>
      </c>
      <c r="I148" s="14" t="str">
        <f t="shared" si="4"/>
        <v>diciembre</v>
      </c>
      <c r="J148" s="14" t="s">
        <v>920</v>
      </c>
      <c r="K148" s="14" t="s">
        <v>29</v>
      </c>
      <c r="L148" s="14" t="s">
        <v>921</v>
      </c>
      <c r="M148" s="14">
        <v>9.4587056E7</v>
      </c>
      <c r="N148" s="14" t="s">
        <v>83</v>
      </c>
      <c r="O148" s="14" t="s">
        <v>32</v>
      </c>
      <c r="P148" s="16" t="s">
        <v>922</v>
      </c>
      <c r="Q148" s="13">
        <f t="shared" si="5"/>
        <v>33</v>
      </c>
      <c r="R148" s="13">
        <f t="shared" si="6"/>
        <v>5</v>
      </c>
      <c r="S148" s="14" t="s">
        <v>225</v>
      </c>
      <c r="T148" s="8" t="s">
        <v>35</v>
      </c>
      <c r="U148" s="14" t="s">
        <v>47</v>
      </c>
      <c r="V148" s="13" t="s">
        <v>48</v>
      </c>
      <c r="W148" s="9" t="s">
        <v>38</v>
      </c>
      <c r="X148" s="13" t="s">
        <v>38</v>
      </c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</row>
    <row r="149" ht="18.0" hidden="1" customHeight="1">
      <c r="A149" s="3">
        <v>156.0</v>
      </c>
      <c r="B149" s="4" t="s">
        <v>923</v>
      </c>
      <c r="C149" s="5" t="s">
        <v>924</v>
      </c>
      <c r="D149" s="6" t="s">
        <v>26</v>
      </c>
      <c r="E149" s="7" t="s">
        <v>925</v>
      </c>
      <c r="F149" s="5">
        <f t="shared" si="1"/>
        <v>35</v>
      </c>
      <c r="G149" s="5">
        <f t="shared" si="2"/>
        <v>29</v>
      </c>
      <c r="H149" s="5">
        <f t="shared" si="7"/>
        <v>3</v>
      </c>
      <c r="I149" s="6" t="str">
        <f t="shared" si="4"/>
        <v>marzo</v>
      </c>
      <c r="J149" s="6" t="s">
        <v>926</v>
      </c>
      <c r="K149" s="6" t="s">
        <v>29</v>
      </c>
      <c r="L149" s="6" t="s">
        <v>927</v>
      </c>
      <c r="M149" s="6">
        <v>7.7212425E7</v>
      </c>
      <c r="N149" s="6" t="s">
        <v>61</v>
      </c>
      <c r="O149" s="6" t="s">
        <v>32</v>
      </c>
      <c r="P149" s="7" t="s">
        <v>928</v>
      </c>
      <c r="Q149" s="5">
        <f t="shared" si="5"/>
        <v>2</v>
      </c>
      <c r="R149" s="5">
        <f t="shared" si="6"/>
        <v>0</v>
      </c>
      <c r="S149" s="6" t="s">
        <v>34</v>
      </c>
      <c r="T149" s="8" t="s">
        <v>35</v>
      </c>
      <c r="U149" s="6" t="s">
        <v>36</v>
      </c>
      <c r="V149" s="5" t="s">
        <v>37</v>
      </c>
      <c r="W149" s="9" t="s">
        <v>38</v>
      </c>
      <c r="X149" s="5" t="s">
        <v>38</v>
      </c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30"/>
      <c r="AK149" s="29"/>
      <c r="AL149" s="30"/>
      <c r="AM149" s="30"/>
      <c r="AN149" s="30"/>
    </row>
    <row r="150" ht="18.0" hidden="1" customHeight="1">
      <c r="A150" s="11">
        <v>157.0</v>
      </c>
      <c r="B150" s="12" t="s">
        <v>929</v>
      </c>
      <c r="C150" s="13" t="s">
        <v>930</v>
      </c>
      <c r="D150" s="14" t="s">
        <v>26</v>
      </c>
      <c r="E150" s="16" t="s">
        <v>931</v>
      </c>
      <c r="F150" s="13">
        <f t="shared" si="1"/>
        <v>36</v>
      </c>
      <c r="G150" s="13">
        <f t="shared" si="2"/>
        <v>9</v>
      </c>
      <c r="H150" s="13">
        <f t="shared" si="7"/>
        <v>2</v>
      </c>
      <c r="I150" s="14" t="str">
        <f t="shared" si="4"/>
        <v>febrero</v>
      </c>
      <c r="J150" s="14" t="s">
        <v>932</v>
      </c>
      <c r="K150" s="14" t="s">
        <v>29</v>
      </c>
      <c r="L150" s="14" t="s">
        <v>933</v>
      </c>
      <c r="M150" s="14">
        <v>7.8887114E7</v>
      </c>
      <c r="N150" s="14" t="s">
        <v>83</v>
      </c>
      <c r="O150" s="14" t="s">
        <v>92</v>
      </c>
      <c r="P150" s="16" t="s">
        <v>934</v>
      </c>
      <c r="Q150" s="13">
        <f t="shared" si="5"/>
        <v>15</v>
      </c>
      <c r="R150" s="13">
        <f t="shared" si="6"/>
        <v>8</v>
      </c>
      <c r="S150" s="14" t="s">
        <v>94</v>
      </c>
      <c r="T150" s="8" t="s">
        <v>35</v>
      </c>
      <c r="U150" s="14" t="s">
        <v>36</v>
      </c>
      <c r="V150" s="13" t="s">
        <v>37</v>
      </c>
      <c r="W150" s="26"/>
      <c r="X150" s="13" t="s">
        <v>38</v>
      </c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31"/>
      <c r="AK150" s="27"/>
      <c r="AL150" s="31"/>
      <c r="AM150" s="31"/>
      <c r="AN150" s="31"/>
    </row>
    <row r="151" ht="18.0" hidden="1" customHeight="1">
      <c r="A151" s="3">
        <v>158.0</v>
      </c>
      <c r="B151" s="4" t="s">
        <v>935</v>
      </c>
      <c r="C151" s="5" t="s">
        <v>936</v>
      </c>
      <c r="D151" s="6" t="s">
        <v>26</v>
      </c>
      <c r="E151" s="7" t="s">
        <v>937</v>
      </c>
      <c r="F151" s="5">
        <f t="shared" si="1"/>
        <v>40</v>
      </c>
      <c r="G151" s="5">
        <f t="shared" si="2"/>
        <v>7</v>
      </c>
      <c r="H151" s="5">
        <f t="shared" si="7"/>
        <v>2</v>
      </c>
      <c r="I151" s="6" t="str">
        <f t="shared" si="4"/>
        <v>febrero</v>
      </c>
      <c r="J151" s="6" t="s">
        <v>938</v>
      </c>
      <c r="K151" s="6" t="s">
        <v>43</v>
      </c>
      <c r="L151" s="6" t="s">
        <v>939</v>
      </c>
      <c r="M151" s="6">
        <v>9.5486102E7</v>
      </c>
      <c r="N151" s="6" t="s">
        <v>61</v>
      </c>
      <c r="O151" s="6" t="s">
        <v>62</v>
      </c>
      <c r="P151" s="7" t="s">
        <v>591</v>
      </c>
      <c r="Q151" s="5">
        <f t="shared" si="5"/>
        <v>15</v>
      </c>
      <c r="R151" s="5">
        <f t="shared" si="6"/>
        <v>4</v>
      </c>
      <c r="S151" s="6" t="s">
        <v>94</v>
      </c>
      <c r="T151" s="8" t="s">
        <v>35</v>
      </c>
      <c r="U151" s="6" t="s">
        <v>36</v>
      </c>
      <c r="V151" s="5" t="s">
        <v>37</v>
      </c>
      <c r="W151" s="28"/>
      <c r="X151" s="10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30"/>
      <c r="AK151" s="29"/>
      <c r="AL151" s="30"/>
      <c r="AM151" s="30"/>
      <c r="AN151" s="30"/>
    </row>
    <row r="152" ht="18.0" hidden="1" customHeight="1">
      <c r="A152" s="11">
        <v>159.0</v>
      </c>
      <c r="B152" s="12" t="s">
        <v>940</v>
      </c>
      <c r="C152" s="13" t="s">
        <v>941</v>
      </c>
      <c r="D152" s="14" t="s">
        <v>26</v>
      </c>
      <c r="E152" s="16" t="s">
        <v>942</v>
      </c>
      <c r="F152" s="13">
        <f t="shared" si="1"/>
        <v>74</v>
      </c>
      <c r="G152" s="13">
        <f t="shared" si="2"/>
        <v>19</v>
      </c>
      <c r="H152" s="13">
        <f t="shared" si="7"/>
        <v>9</v>
      </c>
      <c r="I152" s="14" t="str">
        <f t="shared" si="4"/>
        <v>septiembre</v>
      </c>
      <c r="J152" s="14" t="s">
        <v>943</v>
      </c>
      <c r="K152" s="14" t="s">
        <v>43</v>
      </c>
      <c r="L152" s="14" t="s">
        <v>944</v>
      </c>
      <c r="M152" s="14">
        <v>7.5215104E7</v>
      </c>
      <c r="N152" s="14" t="s">
        <v>249</v>
      </c>
      <c r="O152" s="14" t="s">
        <v>32</v>
      </c>
      <c r="P152" s="16" t="s">
        <v>945</v>
      </c>
      <c r="Q152" s="13">
        <f t="shared" si="5"/>
        <v>9</v>
      </c>
      <c r="R152" s="13">
        <f t="shared" si="6"/>
        <v>6</v>
      </c>
      <c r="S152" s="14" t="s">
        <v>46</v>
      </c>
      <c r="T152" s="8" t="s">
        <v>35</v>
      </c>
      <c r="U152" s="14" t="s">
        <v>36</v>
      </c>
      <c r="V152" s="13" t="s">
        <v>37</v>
      </c>
      <c r="W152" s="9" t="s">
        <v>38</v>
      </c>
      <c r="X152" s="13" t="s">
        <v>38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31"/>
      <c r="AK152" s="27"/>
      <c r="AL152" s="31"/>
      <c r="AM152" s="31"/>
      <c r="AN152" s="31"/>
    </row>
    <row r="153" ht="18.0" hidden="1" customHeight="1">
      <c r="A153" s="3">
        <v>160.0</v>
      </c>
      <c r="B153" s="4" t="s">
        <v>946</v>
      </c>
      <c r="C153" s="5" t="s">
        <v>947</v>
      </c>
      <c r="D153" s="6" t="s">
        <v>26</v>
      </c>
      <c r="E153" s="20">
        <v>30393.0</v>
      </c>
      <c r="F153" s="5">
        <f t="shared" si="1"/>
        <v>61</v>
      </c>
      <c r="G153" s="5">
        <f t="shared" si="2"/>
        <v>26</v>
      </c>
      <c r="H153" s="5">
        <f t="shared" si="7"/>
        <v>2</v>
      </c>
      <c r="I153" s="6" t="str">
        <f t="shared" si="4"/>
        <v>febrero</v>
      </c>
      <c r="J153" s="6" t="s">
        <v>948</v>
      </c>
      <c r="K153" s="6" t="s">
        <v>29</v>
      </c>
      <c r="L153" s="6" t="s">
        <v>949</v>
      </c>
      <c r="M153" s="6">
        <v>9.47747062E8</v>
      </c>
      <c r="N153" s="6" t="s">
        <v>249</v>
      </c>
      <c r="O153" s="6" t="s">
        <v>32</v>
      </c>
      <c r="P153" s="7" t="s">
        <v>950</v>
      </c>
      <c r="Q153" s="5">
        <f t="shared" si="5"/>
        <v>7</v>
      </c>
      <c r="R153" s="5">
        <f t="shared" si="6"/>
        <v>10</v>
      </c>
      <c r="S153" s="6" t="s">
        <v>46</v>
      </c>
      <c r="T153" s="8" t="s">
        <v>35</v>
      </c>
      <c r="U153" s="6" t="s">
        <v>47</v>
      </c>
      <c r="V153" s="5" t="s">
        <v>48</v>
      </c>
      <c r="W153" s="24" t="s">
        <v>285</v>
      </c>
      <c r="X153" s="5" t="s">
        <v>38</v>
      </c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8.0" customHeight="1">
      <c r="A154" s="11">
        <v>161.0</v>
      </c>
      <c r="B154" s="12" t="s">
        <v>951</v>
      </c>
      <c r="C154" s="13" t="s">
        <v>952</v>
      </c>
      <c r="D154" s="14" t="s">
        <v>26</v>
      </c>
      <c r="E154" s="16" t="s">
        <v>953</v>
      </c>
      <c r="F154" s="13">
        <f t="shared" si="1"/>
        <v>43</v>
      </c>
      <c r="G154" s="13">
        <f t="shared" si="2"/>
        <v>18</v>
      </c>
      <c r="H154" s="13">
        <f t="shared" si="7"/>
        <v>3</v>
      </c>
      <c r="I154" s="14" t="str">
        <f t="shared" si="4"/>
        <v>marzo</v>
      </c>
      <c r="J154" s="14" t="s">
        <v>954</v>
      </c>
      <c r="K154" s="14" t="s">
        <v>571</v>
      </c>
      <c r="L154" s="14" t="s">
        <v>955</v>
      </c>
      <c r="M154" s="14">
        <v>8.4488825E7</v>
      </c>
      <c r="N154" s="14" t="s">
        <v>61</v>
      </c>
      <c r="O154" s="14" t="s">
        <v>32</v>
      </c>
      <c r="P154" s="16" t="s">
        <v>956</v>
      </c>
      <c r="Q154" s="13">
        <f t="shared" si="5"/>
        <v>2</v>
      </c>
      <c r="R154" s="13">
        <f t="shared" si="6"/>
        <v>0</v>
      </c>
      <c r="S154" s="14" t="s">
        <v>250</v>
      </c>
      <c r="T154" s="13">
        <v>2.0</v>
      </c>
      <c r="U154" s="14" t="s">
        <v>36</v>
      </c>
      <c r="V154" s="13" t="s">
        <v>37</v>
      </c>
      <c r="W154" s="26"/>
      <c r="X154" s="13" t="s">
        <v>38</v>
      </c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31"/>
      <c r="AK154" s="27"/>
      <c r="AL154" s="31"/>
      <c r="AM154" s="31"/>
      <c r="AN154" s="31"/>
    </row>
    <row r="155" ht="18.0" hidden="1" customHeight="1">
      <c r="A155" s="3">
        <v>162.0</v>
      </c>
      <c r="B155" s="4" t="s">
        <v>957</v>
      </c>
      <c r="C155" s="5" t="s">
        <v>958</v>
      </c>
      <c r="D155" s="6" t="s">
        <v>26</v>
      </c>
      <c r="E155" s="7" t="s">
        <v>959</v>
      </c>
      <c r="F155" s="5">
        <f t="shared" si="1"/>
        <v>36</v>
      </c>
      <c r="G155" s="5">
        <f t="shared" si="2"/>
        <v>31</v>
      </c>
      <c r="H155" s="5">
        <f t="shared" si="7"/>
        <v>12</v>
      </c>
      <c r="I155" s="6" t="str">
        <f t="shared" si="4"/>
        <v>diciembre</v>
      </c>
      <c r="J155" s="6" t="s">
        <v>960</v>
      </c>
      <c r="K155" s="6" t="s">
        <v>68</v>
      </c>
      <c r="L155" s="6" t="s">
        <v>961</v>
      </c>
      <c r="M155" s="6">
        <v>9.97843806E8</v>
      </c>
      <c r="N155" s="6" t="s">
        <v>91</v>
      </c>
      <c r="O155" s="6" t="s">
        <v>100</v>
      </c>
      <c r="P155" s="7" t="s">
        <v>962</v>
      </c>
      <c r="Q155" s="5">
        <f t="shared" si="5"/>
        <v>11</v>
      </c>
      <c r="R155" s="5">
        <f t="shared" si="6"/>
        <v>1</v>
      </c>
      <c r="S155" s="6" t="s">
        <v>250</v>
      </c>
      <c r="T155" s="5">
        <v>2.0</v>
      </c>
      <c r="U155" s="6" t="s">
        <v>36</v>
      </c>
      <c r="V155" s="5" t="s">
        <v>37</v>
      </c>
      <c r="W155" s="28"/>
      <c r="X155" s="5" t="s">
        <v>38</v>
      </c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30"/>
      <c r="AK155" s="29"/>
      <c r="AL155" s="30"/>
      <c r="AM155" s="30"/>
      <c r="AN155" s="30"/>
    </row>
    <row r="156" ht="18.0" hidden="1" customHeight="1">
      <c r="A156" s="11">
        <v>163.0</v>
      </c>
      <c r="B156" s="12" t="s">
        <v>963</v>
      </c>
      <c r="C156" s="13" t="s">
        <v>964</v>
      </c>
      <c r="D156" s="14" t="s">
        <v>26</v>
      </c>
      <c r="E156" s="16" t="s">
        <v>965</v>
      </c>
      <c r="F156" s="13">
        <f t="shared" si="1"/>
        <v>36</v>
      </c>
      <c r="G156" s="13">
        <f t="shared" si="2"/>
        <v>16</v>
      </c>
      <c r="H156" s="13">
        <f t="shared" si="7"/>
        <v>10</v>
      </c>
      <c r="I156" s="14" t="str">
        <f t="shared" si="4"/>
        <v>octubre</v>
      </c>
      <c r="J156" s="14" t="s">
        <v>966</v>
      </c>
      <c r="K156" s="14" t="s">
        <v>53</v>
      </c>
      <c r="L156" s="14" t="s">
        <v>967</v>
      </c>
      <c r="M156" s="14">
        <v>7.9552172E7</v>
      </c>
      <c r="N156" s="14" t="s">
        <v>91</v>
      </c>
      <c r="O156" s="14" t="s">
        <v>32</v>
      </c>
      <c r="P156" s="16" t="s">
        <v>968</v>
      </c>
      <c r="Q156" s="13">
        <f t="shared" si="5"/>
        <v>4</v>
      </c>
      <c r="R156" s="13">
        <f t="shared" si="6"/>
        <v>6</v>
      </c>
      <c r="S156" s="14" t="s">
        <v>46</v>
      </c>
      <c r="T156" s="8" t="s">
        <v>35</v>
      </c>
      <c r="U156" s="14" t="s">
        <v>47</v>
      </c>
      <c r="V156" s="13" t="s">
        <v>48</v>
      </c>
      <c r="W156" s="9" t="s">
        <v>38</v>
      </c>
      <c r="X156" s="13" t="s">
        <v>38</v>
      </c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31"/>
      <c r="AK156" s="27"/>
      <c r="AL156" s="31"/>
      <c r="AM156" s="31"/>
      <c r="AN156" s="31"/>
    </row>
    <row r="157" ht="18.0" hidden="1" customHeight="1">
      <c r="A157" s="3">
        <v>164.0</v>
      </c>
      <c r="B157" s="4" t="s">
        <v>969</v>
      </c>
      <c r="C157" s="5" t="s">
        <v>970</v>
      </c>
      <c r="D157" s="6" t="s">
        <v>26</v>
      </c>
      <c r="E157" s="7" t="s">
        <v>971</v>
      </c>
      <c r="F157" s="5">
        <f t="shared" si="1"/>
        <v>40</v>
      </c>
      <c r="G157" s="5">
        <f t="shared" si="2"/>
        <v>30</v>
      </c>
      <c r="H157" s="5">
        <f t="shared" si="7"/>
        <v>4</v>
      </c>
      <c r="I157" s="6" t="str">
        <f t="shared" si="4"/>
        <v>abril</v>
      </c>
      <c r="J157" s="6" t="s">
        <v>972</v>
      </c>
      <c r="K157" s="6" t="s">
        <v>43</v>
      </c>
      <c r="L157" s="6" t="s">
        <v>973</v>
      </c>
      <c r="M157" s="6">
        <v>9.56593807E8</v>
      </c>
      <c r="N157" s="6" t="s">
        <v>125</v>
      </c>
      <c r="O157" s="6" t="s">
        <v>32</v>
      </c>
      <c r="P157" s="7" t="s">
        <v>974</v>
      </c>
      <c r="Q157" s="5">
        <f t="shared" si="5"/>
        <v>9</v>
      </c>
      <c r="R157" s="5">
        <f t="shared" si="6"/>
        <v>1</v>
      </c>
      <c r="S157" s="6" t="s">
        <v>46</v>
      </c>
      <c r="T157" s="8" t="s">
        <v>35</v>
      </c>
      <c r="U157" s="6" t="s">
        <v>47</v>
      </c>
      <c r="V157" s="5" t="s">
        <v>48</v>
      </c>
      <c r="W157" s="9" t="s">
        <v>38</v>
      </c>
      <c r="X157" s="5" t="s">
        <v>38</v>
      </c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30"/>
      <c r="AK157" s="29"/>
      <c r="AL157" s="30"/>
      <c r="AM157" s="30"/>
      <c r="AN157" s="30"/>
    </row>
    <row r="158" ht="18.0" hidden="1" customHeight="1">
      <c r="A158" s="11">
        <v>165.0</v>
      </c>
      <c r="B158" s="12" t="s">
        <v>975</v>
      </c>
      <c r="C158" s="13" t="s">
        <v>976</v>
      </c>
      <c r="D158" s="14" t="s">
        <v>26</v>
      </c>
      <c r="E158" s="16" t="s">
        <v>977</v>
      </c>
      <c r="F158" s="13">
        <f t="shared" si="1"/>
        <v>26</v>
      </c>
      <c r="G158" s="13">
        <f t="shared" si="2"/>
        <v>23</v>
      </c>
      <c r="H158" s="13">
        <f t="shared" si="7"/>
        <v>11</v>
      </c>
      <c r="I158" s="14" t="str">
        <f t="shared" si="4"/>
        <v>noviembre</v>
      </c>
      <c r="J158" s="14" t="s">
        <v>978</v>
      </c>
      <c r="K158" s="14" t="s">
        <v>571</v>
      </c>
      <c r="L158" s="14" t="s">
        <v>979</v>
      </c>
      <c r="M158" s="14">
        <v>5.322695E7</v>
      </c>
      <c r="N158" s="14" t="s">
        <v>70</v>
      </c>
      <c r="O158" s="14" t="s">
        <v>32</v>
      </c>
      <c r="P158" s="16" t="s">
        <v>910</v>
      </c>
      <c r="Q158" s="13">
        <f t="shared" si="5"/>
        <v>5</v>
      </c>
      <c r="R158" s="13">
        <f t="shared" si="6"/>
        <v>0</v>
      </c>
      <c r="S158" s="14" t="s">
        <v>64</v>
      </c>
      <c r="T158" s="8" t="s">
        <v>35</v>
      </c>
      <c r="U158" s="14" t="s">
        <v>36</v>
      </c>
      <c r="V158" s="13" t="s">
        <v>37</v>
      </c>
      <c r="W158" s="9" t="s">
        <v>38</v>
      </c>
      <c r="X158" s="13" t="s">
        <v>38</v>
      </c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</row>
    <row r="159" ht="18.0" hidden="1" customHeight="1">
      <c r="A159" s="3">
        <v>167.0</v>
      </c>
      <c r="B159" s="4" t="s">
        <v>980</v>
      </c>
      <c r="C159" s="5" t="s">
        <v>981</v>
      </c>
      <c r="D159" s="6" t="s">
        <v>26</v>
      </c>
      <c r="E159" s="20">
        <v>32681.0</v>
      </c>
      <c r="F159" s="5">
        <f t="shared" si="1"/>
        <v>29</v>
      </c>
      <c r="G159" s="5">
        <f t="shared" si="2"/>
        <v>20</v>
      </c>
      <c r="H159" s="5">
        <f t="shared" si="7"/>
        <v>10</v>
      </c>
      <c r="I159" s="6" t="str">
        <f t="shared" si="4"/>
        <v>octubre</v>
      </c>
      <c r="J159" s="6" t="s">
        <v>982</v>
      </c>
      <c r="K159" s="6" t="s">
        <v>68</v>
      </c>
      <c r="L159" s="6" t="s">
        <v>983</v>
      </c>
      <c r="M159" s="6">
        <v>9.9004277E8</v>
      </c>
      <c r="N159" s="6" t="s">
        <v>61</v>
      </c>
      <c r="O159" s="6" t="s">
        <v>32</v>
      </c>
      <c r="P159" s="7" t="s">
        <v>984</v>
      </c>
      <c r="Q159" s="5">
        <f t="shared" si="5"/>
        <v>7</v>
      </c>
      <c r="R159" s="5">
        <f t="shared" si="6"/>
        <v>6</v>
      </c>
      <c r="S159" s="6" t="s">
        <v>250</v>
      </c>
      <c r="T159" s="5">
        <v>2.0</v>
      </c>
      <c r="U159" s="6" t="s">
        <v>47</v>
      </c>
      <c r="V159" s="5" t="s">
        <v>48</v>
      </c>
      <c r="W159" s="10"/>
      <c r="X159" s="5" t="s">
        <v>38</v>
      </c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8.0" hidden="1" customHeight="1">
      <c r="A160" s="11">
        <v>168.0</v>
      </c>
      <c r="B160" s="12" t="s">
        <v>985</v>
      </c>
      <c r="C160" s="13" t="s">
        <v>986</v>
      </c>
      <c r="D160" s="14" t="s">
        <v>41</v>
      </c>
      <c r="E160" s="15">
        <v>26783.0</v>
      </c>
      <c r="F160" s="13">
        <f t="shared" si="1"/>
        <v>36</v>
      </c>
      <c r="G160" s="13">
        <f t="shared" si="2"/>
        <v>22</v>
      </c>
      <c r="H160" s="13">
        <f t="shared" si="7"/>
        <v>6</v>
      </c>
      <c r="I160" s="14" t="str">
        <f t="shared" si="4"/>
        <v>junio</v>
      </c>
      <c r="J160" s="14" t="s">
        <v>987</v>
      </c>
      <c r="K160" s="14" t="s">
        <v>29</v>
      </c>
      <c r="L160" s="14" t="s">
        <v>988</v>
      </c>
      <c r="M160" s="14">
        <v>9.62537404E8</v>
      </c>
      <c r="N160" s="14" t="s">
        <v>685</v>
      </c>
      <c r="O160" s="14" t="s">
        <v>32</v>
      </c>
      <c r="P160" s="25">
        <v>44656.0</v>
      </c>
      <c r="Q160" s="13">
        <f t="shared" si="5"/>
        <v>2</v>
      </c>
      <c r="R160" s="13">
        <f t="shared" si="6"/>
        <v>0</v>
      </c>
      <c r="S160" s="14" t="s">
        <v>225</v>
      </c>
      <c r="T160" s="8" t="s">
        <v>35</v>
      </c>
      <c r="U160" s="14" t="s">
        <v>47</v>
      </c>
      <c r="V160" s="13" t="s">
        <v>48</v>
      </c>
      <c r="W160" s="9" t="s">
        <v>38</v>
      </c>
      <c r="X160" s="13" t="s">
        <v>38</v>
      </c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31"/>
      <c r="AK160" s="27"/>
      <c r="AL160" s="31"/>
      <c r="AM160" s="31"/>
      <c r="AN160" s="31"/>
    </row>
    <row r="161" ht="18.0" hidden="1" customHeight="1">
      <c r="A161" s="3">
        <v>169.0</v>
      </c>
      <c r="B161" s="4" t="s">
        <v>989</v>
      </c>
      <c r="C161" s="5" t="s">
        <v>990</v>
      </c>
      <c r="D161" s="6" t="s">
        <v>26</v>
      </c>
      <c r="E161" s="7" t="s">
        <v>991</v>
      </c>
      <c r="F161" s="5">
        <f t="shared" si="1"/>
        <v>53</v>
      </c>
      <c r="G161" s="5">
        <f t="shared" si="2"/>
        <v>29</v>
      </c>
      <c r="H161" s="5">
        <f t="shared" si="7"/>
        <v>4</v>
      </c>
      <c r="I161" s="6" t="str">
        <f t="shared" si="4"/>
        <v>abril</v>
      </c>
      <c r="J161" s="6" t="s">
        <v>992</v>
      </c>
      <c r="K161" s="6" t="s">
        <v>256</v>
      </c>
      <c r="L161" s="6" t="s">
        <v>993</v>
      </c>
      <c r="M161" s="6">
        <v>9.3369119E7</v>
      </c>
      <c r="N161" s="6" t="s">
        <v>31</v>
      </c>
      <c r="O161" s="6" t="s">
        <v>32</v>
      </c>
      <c r="P161" s="7" t="s">
        <v>994</v>
      </c>
      <c r="Q161" s="5">
        <f t="shared" si="5"/>
        <v>4</v>
      </c>
      <c r="R161" s="5">
        <f t="shared" si="6"/>
        <v>1</v>
      </c>
      <c r="S161" s="6" t="s">
        <v>46</v>
      </c>
      <c r="T161" s="8" t="s">
        <v>35</v>
      </c>
      <c r="U161" s="6" t="s">
        <v>36</v>
      </c>
      <c r="V161" s="5" t="s">
        <v>37</v>
      </c>
      <c r="W161" s="9" t="s">
        <v>38</v>
      </c>
      <c r="X161" s="5" t="s">
        <v>38</v>
      </c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30"/>
      <c r="AK161" s="29"/>
      <c r="AL161" s="30"/>
      <c r="AM161" s="30"/>
      <c r="AN161" s="30"/>
    </row>
    <row r="162" ht="18.0" hidden="1" customHeight="1">
      <c r="A162" s="11">
        <v>170.0</v>
      </c>
      <c r="B162" s="12" t="s">
        <v>995</v>
      </c>
      <c r="C162" s="13" t="s">
        <v>996</v>
      </c>
      <c r="D162" s="14" t="s">
        <v>26</v>
      </c>
      <c r="E162" s="16" t="s">
        <v>997</v>
      </c>
      <c r="F162" s="13">
        <f t="shared" si="1"/>
        <v>39</v>
      </c>
      <c r="G162" s="13">
        <f t="shared" si="2"/>
        <v>22</v>
      </c>
      <c r="H162" s="13">
        <f t="shared" si="7"/>
        <v>9</v>
      </c>
      <c r="I162" s="14" t="str">
        <f t="shared" si="4"/>
        <v>septiembre</v>
      </c>
      <c r="J162" s="14" t="s">
        <v>998</v>
      </c>
      <c r="K162" s="14" t="s">
        <v>29</v>
      </c>
      <c r="L162" s="14" t="s">
        <v>999</v>
      </c>
      <c r="M162" s="14">
        <v>8.8251554E7</v>
      </c>
      <c r="N162" s="14" t="s">
        <v>91</v>
      </c>
      <c r="O162" s="14" t="s">
        <v>32</v>
      </c>
      <c r="P162" s="16" t="s">
        <v>1000</v>
      </c>
      <c r="Q162" s="13">
        <f t="shared" si="5"/>
        <v>7</v>
      </c>
      <c r="R162" s="13">
        <f t="shared" si="6"/>
        <v>2</v>
      </c>
      <c r="S162" s="14" t="s">
        <v>46</v>
      </c>
      <c r="T162" s="8" t="s">
        <v>35</v>
      </c>
      <c r="U162" s="14" t="s">
        <v>47</v>
      </c>
      <c r="V162" s="13" t="s">
        <v>48</v>
      </c>
      <c r="W162" s="9" t="s">
        <v>38</v>
      </c>
      <c r="X162" s="13" t="s">
        <v>38</v>
      </c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31"/>
      <c r="AK162" s="27"/>
      <c r="AL162" s="31"/>
      <c r="AM162" s="31"/>
      <c r="AN162" s="31"/>
    </row>
    <row r="163" ht="18.0" hidden="1" customHeight="1">
      <c r="A163" s="3">
        <v>171.0</v>
      </c>
      <c r="B163" s="4" t="s">
        <v>1001</v>
      </c>
      <c r="C163" s="5" t="s">
        <v>1002</v>
      </c>
      <c r="D163" s="6" t="s">
        <v>26</v>
      </c>
      <c r="E163" s="7" t="s">
        <v>1003</v>
      </c>
      <c r="F163" s="5">
        <f t="shared" si="1"/>
        <v>58</v>
      </c>
      <c r="G163" s="5">
        <f t="shared" si="2"/>
        <v>15</v>
      </c>
      <c r="H163" s="5">
        <f t="shared" si="7"/>
        <v>4</v>
      </c>
      <c r="I163" s="6" t="str">
        <f t="shared" si="4"/>
        <v>abril</v>
      </c>
      <c r="J163" s="6" t="s">
        <v>1004</v>
      </c>
      <c r="K163" s="6" t="s">
        <v>29</v>
      </c>
      <c r="L163" s="6" t="s">
        <v>1005</v>
      </c>
      <c r="M163" s="6">
        <v>8.1962524E7</v>
      </c>
      <c r="N163" s="6" t="s">
        <v>91</v>
      </c>
      <c r="O163" s="6" t="s">
        <v>32</v>
      </c>
      <c r="P163" s="7" t="s">
        <v>1006</v>
      </c>
      <c r="Q163" s="5">
        <f t="shared" si="5"/>
        <v>9</v>
      </c>
      <c r="R163" s="5">
        <f t="shared" si="6"/>
        <v>5</v>
      </c>
      <c r="S163" s="6" t="s">
        <v>64</v>
      </c>
      <c r="T163" s="8" t="s">
        <v>35</v>
      </c>
      <c r="U163" s="6" t="s">
        <v>47</v>
      </c>
      <c r="V163" s="5" t="s">
        <v>48</v>
      </c>
      <c r="W163" s="9" t="s">
        <v>38</v>
      </c>
      <c r="X163" s="5" t="s">
        <v>38</v>
      </c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30"/>
      <c r="AK163" s="29"/>
      <c r="AL163" s="30"/>
      <c r="AM163" s="30"/>
      <c r="AN163" s="30"/>
    </row>
    <row r="164" ht="18.0" hidden="1" customHeight="1">
      <c r="A164" s="11">
        <v>172.0</v>
      </c>
      <c r="B164" s="12" t="s">
        <v>1007</v>
      </c>
      <c r="C164" s="13" t="s">
        <v>1008</v>
      </c>
      <c r="D164" s="14" t="s">
        <v>26</v>
      </c>
      <c r="E164" s="16" t="s">
        <v>1009</v>
      </c>
      <c r="F164" s="13">
        <f t="shared" si="1"/>
        <v>58</v>
      </c>
      <c r="G164" s="13">
        <f t="shared" si="2"/>
        <v>6</v>
      </c>
      <c r="H164" s="13">
        <f t="shared" si="7"/>
        <v>12</v>
      </c>
      <c r="I164" s="14" t="str">
        <f t="shared" si="4"/>
        <v>diciembre</v>
      </c>
      <c r="J164" s="14" t="s">
        <v>1010</v>
      </c>
      <c r="K164" s="14" t="s">
        <v>131</v>
      </c>
      <c r="L164" s="14" t="s">
        <v>1011</v>
      </c>
      <c r="M164" s="14">
        <v>9.53600463E8</v>
      </c>
      <c r="N164" s="14" t="s">
        <v>685</v>
      </c>
      <c r="O164" s="14" t="s">
        <v>1012</v>
      </c>
      <c r="P164" s="16" t="s">
        <v>1013</v>
      </c>
      <c r="Q164" s="13">
        <f t="shared" si="5"/>
        <v>23</v>
      </c>
      <c r="R164" s="13">
        <f t="shared" si="6"/>
        <v>11</v>
      </c>
      <c r="S164" s="14" t="s">
        <v>250</v>
      </c>
      <c r="T164" s="13">
        <v>2.0</v>
      </c>
      <c r="U164" s="14" t="s">
        <v>47</v>
      </c>
      <c r="V164" s="13" t="s">
        <v>48</v>
      </c>
      <c r="W164" s="17"/>
      <c r="X164" s="13" t="s">
        <v>38</v>
      </c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</row>
    <row r="165" ht="18.0" hidden="1" customHeight="1">
      <c r="A165" s="3">
        <v>173.0</v>
      </c>
      <c r="B165" s="4" t="s">
        <v>1014</v>
      </c>
      <c r="C165" s="5" t="s">
        <v>1015</v>
      </c>
      <c r="D165" s="6" t="s">
        <v>26</v>
      </c>
      <c r="E165" s="7" t="s">
        <v>1016</v>
      </c>
      <c r="F165" s="5">
        <f t="shared" si="1"/>
        <v>33</v>
      </c>
      <c r="G165" s="5">
        <f t="shared" si="2"/>
        <v>14</v>
      </c>
      <c r="H165" s="5">
        <f t="shared" si="7"/>
        <v>8</v>
      </c>
      <c r="I165" s="6" t="str">
        <f t="shared" si="4"/>
        <v>agosto</v>
      </c>
      <c r="J165" s="6" t="s">
        <v>1017</v>
      </c>
      <c r="K165" s="6" t="s">
        <v>53</v>
      </c>
      <c r="L165" s="6" t="s">
        <v>1018</v>
      </c>
      <c r="M165" s="6">
        <v>9.62928364E8</v>
      </c>
      <c r="N165" s="6" t="s">
        <v>91</v>
      </c>
      <c r="O165" s="6" t="s">
        <v>32</v>
      </c>
      <c r="P165" s="7" t="s">
        <v>1019</v>
      </c>
      <c r="Q165" s="5">
        <f t="shared" si="5"/>
        <v>4</v>
      </c>
      <c r="R165" s="5">
        <f t="shared" si="6"/>
        <v>4</v>
      </c>
      <c r="S165" s="6" t="s">
        <v>360</v>
      </c>
      <c r="T165" s="8" t="s">
        <v>35</v>
      </c>
      <c r="U165" s="6" t="s">
        <v>36</v>
      </c>
      <c r="V165" s="5" t="s">
        <v>37</v>
      </c>
      <c r="W165" s="9" t="s">
        <v>38</v>
      </c>
      <c r="X165" s="5" t="s">
        <v>38</v>
      </c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8.0" hidden="1" customHeight="1">
      <c r="A166" s="11">
        <v>174.0</v>
      </c>
      <c r="B166" s="12" t="s">
        <v>1020</v>
      </c>
      <c r="C166" s="13" t="s">
        <v>1021</v>
      </c>
      <c r="D166" s="14" t="s">
        <v>26</v>
      </c>
      <c r="E166" s="16" t="s">
        <v>1022</v>
      </c>
      <c r="F166" s="13">
        <f t="shared" si="1"/>
        <v>46</v>
      </c>
      <c r="G166" s="13">
        <f t="shared" si="2"/>
        <v>17</v>
      </c>
      <c r="H166" s="13">
        <f t="shared" si="7"/>
        <v>11</v>
      </c>
      <c r="I166" s="14" t="str">
        <f t="shared" si="4"/>
        <v>noviembre</v>
      </c>
      <c r="J166" s="14" t="s">
        <v>1023</v>
      </c>
      <c r="K166" s="14" t="s">
        <v>29</v>
      </c>
      <c r="L166" s="14" t="s">
        <v>1024</v>
      </c>
      <c r="M166" s="14">
        <v>9.5976618E7</v>
      </c>
      <c r="N166" s="14" t="s">
        <v>61</v>
      </c>
      <c r="O166" s="14" t="s">
        <v>32</v>
      </c>
      <c r="P166" s="16" t="s">
        <v>1025</v>
      </c>
      <c r="Q166" s="13">
        <f t="shared" si="5"/>
        <v>3</v>
      </c>
      <c r="R166" s="13">
        <f t="shared" si="6"/>
        <v>9</v>
      </c>
      <c r="S166" s="14" t="s">
        <v>46</v>
      </c>
      <c r="T166" s="8" t="s">
        <v>35</v>
      </c>
      <c r="U166" s="14" t="s">
        <v>47</v>
      </c>
      <c r="V166" s="13" t="s">
        <v>48</v>
      </c>
      <c r="W166" s="9" t="s">
        <v>38</v>
      </c>
      <c r="X166" s="13" t="s">
        <v>38</v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</row>
    <row r="167" ht="18.0" hidden="1" customHeight="1">
      <c r="A167" s="3">
        <v>175.0</v>
      </c>
      <c r="B167" s="4" t="s">
        <v>1026</v>
      </c>
      <c r="C167" s="5" t="s">
        <v>1027</v>
      </c>
      <c r="D167" s="6" t="s">
        <v>26</v>
      </c>
      <c r="E167" s="7" t="s">
        <v>865</v>
      </c>
      <c r="F167" s="5">
        <f t="shared" si="1"/>
        <v>49</v>
      </c>
      <c r="G167" s="5">
        <f t="shared" si="2"/>
        <v>19</v>
      </c>
      <c r="H167" s="5">
        <f t="shared" si="7"/>
        <v>1</v>
      </c>
      <c r="I167" s="6" t="str">
        <f t="shared" si="4"/>
        <v>enero</v>
      </c>
      <c r="J167" s="6" t="s">
        <v>1028</v>
      </c>
      <c r="K167" s="6" t="s">
        <v>131</v>
      </c>
      <c r="L167" s="6" t="s">
        <v>1029</v>
      </c>
      <c r="M167" s="6" t="s">
        <v>1030</v>
      </c>
      <c r="N167" s="6" t="s">
        <v>91</v>
      </c>
      <c r="O167" s="6" t="s">
        <v>32</v>
      </c>
      <c r="P167" s="7" t="s">
        <v>1031</v>
      </c>
      <c r="Q167" s="5">
        <f t="shared" si="5"/>
        <v>10</v>
      </c>
      <c r="R167" s="5">
        <f t="shared" si="6"/>
        <v>1</v>
      </c>
      <c r="S167" s="6" t="s">
        <v>225</v>
      </c>
      <c r="T167" s="8" t="s">
        <v>35</v>
      </c>
      <c r="U167" s="6" t="s">
        <v>47</v>
      </c>
      <c r="V167" s="5" t="s">
        <v>48</v>
      </c>
      <c r="W167" s="9" t="s">
        <v>38</v>
      </c>
      <c r="X167" s="5" t="s">
        <v>38</v>
      </c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8.0" hidden="1" customHeight="1">
      <c r="A168" s="11">
        <v>176.0</v>
      </c>
      <c r="B168" s="12" t="s">
        <v>1032</v>
      </c>
      <c r="C168" s="13" t="s">
        <v>1033</v>
      </c>
      <c r="D168" s="14" t="s">
        <v>26</v>
      </c>
      <c r="E168" s="16" t="s">
        <v>1034</v>
      </c>
      <c r="F168" s="13">
        <f t="shared" si="1"/>
        <v>44</v>
      </c>
      <c r="G168" s="13">
        <f t="shared" si="2"/>
        <v>16</v>
      </c>
      <c r="H168" s="13">
        <f t="shared" si="7"/>
        <v>3</v>
      </c>
      <c r="I168" s="14" t="str">
        <f t="shared" si="4"/>
        <v>marzo</v>
      </c>
      <c r="J168" s="14" t="s">
        <v>1035</v>
      </c>
      <c r="K168" s="14" t="s">
        <v>68</v>
      </c>
      <c r="L168" s="14" t="s">
        <v>1036</v>
      </c>
      <c r="M168" s="14">
        <v>9.6391809E7</v>
      </c>
      <c r="N168" s="14" t="s">
        <v>31</v>
      </c>
      <c r="O168" s="14" t="s">
        <v>32</v>
      </c>
      <c r="P168" s="16" t="s">
        <v>1037</v>
      </c>
      <c r="Q168" s="13">
        <f t="shared" si="5"/>
        <v>1</v>
      </c>
      <c r="R168" s="13">
        <f t="shared" si="6"/>
        <v>2</v>
      </c>
      <c r="S168" s="14" t="s">
        <v>225</v>
      </c>
      <c r="T168" s="8" t="s">
        <v>35</v>
      </c>
      <c r="U168" s="14" t="s">
        <v>47</v>
      </c>
      <c r="V168" s="13" t="s">
        <v>48</v>
      </c>
      <c r="W168" s="9" t="s">
        <v>38</v>
      </c>
      <c r="X168" s="13" t="s">
        <v>38</v>
      </c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</row>
    <row r="169" ht="18.0" hidden="1" customHeight="1">
      <c r="A169" s="3">
        <v>177.0</v>
      </c>
      <c r="B169" s="4" t="s">
        <v>1038</v>
      </c>
      <c r="C169" s="5" t="s">
        <v>1039</v>
      </c>
      <c r="D169" s="6" t="s">
        <v>26</v>
      </c>
      <c r="E169" s="7" t="s">
        <v>1040</v>
      </c>
      <c r="F169" s="5">
        <f t="shared" si="1"/>
        <v>36</v>
      </c>
      <c r="G169" s="5">
        <f t="shared" si="2"/>
        <v>2</v>
      </c>
      <c r="H169" s="5">
        <f t="shared" si="7"/>
        <v>2</v>
      </c>
      <c r="I169" s="6" t="str">
        <f t="shared" si="4"/>
        <v>febrero</v>
      </c>
      <c r="J169" s="6" t="s">
        <v>1041</v>
      </c>
      <c r="K169" s="6" t="s">
        <v>29</v>
      </c>
      <c r="L169" s="6" t="s">
        <v>1042</v>
      </c>
      <c r="M169" s="6">
        <v>9.0336064E7</v>
      </c>
      <c r="N169" s="6" t="s">
        <v>83</v>
      </c>
      <c r="O169" s="6" t="s">
        <v>32</v>
      </c>
      <c r="P169" s="7" t="s">
        <v>1043</v>
      </c>
      <c r="Q169" s="5">
        <f t="shared" si="5"/>
        <v>1</v>
      </c>
      <c r="R169" s="5">
        <f t="shared" si="6"/>
        <v>2</v>
      </c>
      <c r="S169" s="6" t="s">
        <v>225</v>
      </c>
      <c r="T169" s="8" t="s">
        <v>35</v>
      </c>
      <c r="U169" s="6" t="s">
        <v>47</v>
      </c>
      <c r="V169" s="5" t="s">
        <v>48</v>
      </c>
      <c r="W169" s="9" t="s">
        <v>38</v>
      </c>
      <c r="X169" s="5" t="s">
        <v>38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8.0" hidden="1" customHeight="1">
      <c r="A170" s="11">
        <v>178.0</v>
      </c>
      <c r="B170" s="12" t="s">
        <v>1044</v>
      </c>
      <c r="C170" s="13" t="s">
        <v>1045</v>
      </c>
      <c r="D170" s="14" t="s">
        <v>26</v>
      </c>
      <c r="E170" s="33">
        <v>30104.0</v>
      </c>
      <c r="F170" s="13">
        <f t="shared" si="1"/>
        <v>39</v>
      </c>
      <c r="G170" s="13">
        <f t="shared" si="2"/>
        <v>3</v>
      </c>
      <c r="H170" s="13">
        <f t="shared" si="7"/>
        <v>11</v>
      </c>
      <c r="I170" s="14" t="str">
        <f t="shared" si="4"/>
        <v>noviembre</v>
      </c>
      <c r="J170" s="14" t="s">
        <v>1046</v>
      </c>
      <c r="K170" s="14" t="s">
        <v>131</v>
      </c>
      <c r="L170" s="14" t="s">
        <v>1047</v>
      </c>
      <c r="M170" s="14">
        <v>9.3250187E8</v>
      </c>
      <c r="N170" s="14" t="s">
        <v>83</v>
      </c>
      <c r="O170" s="14" t="s">
        <v>32</v>
      </c>
      <c r="P170" s="16" t="s">
        <v>1048</v>
      </c>
      <c r="Q170" s="13">
        <f t="shared" si="5"/>
        <v>1</v>
      </c>
      <c r="R170" s="13">
        <f t="shared" si="6"/>
        <v>1</v>
      </c>
      <c r="S170" s="14" t="s">
        <v>46</v>
      </c>
      <c r="T170" s="8" t="s">
        <v>35</v>
      </c>
      <c r="U170" s="14" t="s">
        <v>47</v>
      </c>
      <c r="V170" s="13" t="s">
        <v>48</v>
      </c>
      <c r="W170" s="24" t="s">
        <v>285</v>
      </c>
      <c r="X170" s="13" t="s">
        <v>38</v>
      </c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</row>
    <row r="171" ht="18.0" hidden="1" customHeight="1">
      <c r="A171" s="3">
        <v>179.0</v>
      </c>
      <c r="B171" s="4" t="s">
        <v>1049</v>
      </c>
      <c r="C171" s="5" t="s">
        <v>1050</v>
      </c>
      <c r="D171" s="6" t="s">
        <v>41</v>
      </c>
      <c r="E171" s="34">
        <v>29200.0</v>
      </c>
      <c r="F171" s="5">
        <f t="shared" si="1"/>
        <v>43</v>
      </c>
      <c r="G171" s="5">
        <f t="shared" si="2"/>
        <v>2</v>
      </c>
      <c r="H171" s="5">
        <f t="shared" si="7"/>
        <v>6</v>
      </c>
      <c r="I171" s="6" t="str">
        <f t="shared" si="4"/>
        <v>junio</v>
      </c>
      <c r="J171" s="6" t="s">
        <v>1051</v>
      </c>
      <c r="K171" s="6" t="s">
        <v>43</v>
      </c>
      <c r="L171" s="6" t="s">
        <v>1052</v>
      </c>
      <c r="M171" s="6">
        <v>9.5988225E8</v>
      </c>
      <c r="N171" s="6" t="s">
        <v>31</v>
      </c>
      <c r="O171" s="6" t="s">
        <v>32</v>
      </c>
      <c r="P171" s="7" t="s">
        <v>1048</v>
      </c>
      <c r="Q171" s="5">
        <f t="shared" si="5"/>
        <v>1</v>
      </c>
      <c r="R171" s="5">
        <f t="shared" si="6"/>
        <v>0</v>
      </c>
      <c r="S171" s="6" t="s">
        <v>46</v>
      </c>
      <c r="T171" s="8" t="s">
        <v>35</v>
      </c>
      <c r="U171" s="6" t="s">
        <v>47</v>
      </c>
      <c r="V171" s="5" t="s">
        <v>48</v>
      </c>
      <c r="W171" s="24" t="s">
        <v>285</v>
      </c>
      <c r="X171" s="5" t="s">
        <v>38</v>
      </c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8.0" hidden="1" customHeight="1">
      <c r="A172" s="11">
        <v>180.0</v>
      </c>
      <c r="B172" s="12" t="s">
        <v>1053</v>
      </c>
      <c r="C172" s="13" t="s">
        <v>1054</v>
      </c>
      <c r="D172" s="14" t="s">
        <v>26</v>
      </c>
      <c r="E172" s="35">
        <v>31950.0</v>
      </c>
      <c r="F172" s="13">
        <f t="shared" si="1"/>
        <v>46</v>
      </c>
      <c r="G172" s="13">
        <f t="shared" si="2"/>
        <v>11</v>
      </c>
      <c r="H172" s="13">
        <f t="shared" si="7"/>
        <v>12</v>
      </c>
      <c r="I172" s="14" t="str">
        <f t="shared" si="4"/>
        <v>diciembre</v>
      </c>
      <c r="J172" s="14" t="s">
        <v>1055</v>
      </c>
      <c r="K172" s="14" t="s">
        <v>1056</v>
      </c>
      <c r="L172" s="14" t="s">
        <v>1057</v>
      </c>
      <c r="M172" s="14">
        <v>9.77002808E8</v>
      </c>
      <c r="N172" s="14" t="s">
        <v>61</v>
      </c>
      <c r="O172" s="14" t="s">
        <v>32</v>
      </c>
      <c r="P172" s="16" t="s">
        <v>1058</v>
      </c>
      <c r="Q172" s="13">
        <f t="shared" si="5"/>
        <v>1</v>
      </c>
      <c r="R172" s="13">
        <f t="shared" si="6"/>
        <v>0</v>
      </c>
      <c r="S172" s="14" t="s">
        <v>46</v>
      </c>
      <c r="T172" s="36" t="s">
        <v>1059</v>
      </c>
      <c r="U172" s="14" t="s">
        <v>36</v>
      </c>
      <c r="V172" s="13" t="s">
        <v>37</v>
      </c>
      <c r="W172" s="24" t="s">
        <v>1060</v>
      </c>
      <c r="X172" s="13" t="s">
        <v>38</v>
      </c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</row>
    <row r="173" ht="18.0" hidden="1" customHeight="1">
      <c r="A173" s="3">
        <v>181.0</v>
      </c>
      <c r="B173" s="4" t="s">
        <v>1061</v>
      </c>
      <c r="C173" s="5" t="s">
        <v>1062</v>
      </c>
      <c r="D173" s="6" t="s">
        <v>26</v>
      </c>
      <c r="E173" s="34">
        <v>30176.0</v>
      </c>
      <c r="F173" s="5">
        <f t="shared" si="1"/>
        <v>38</v>
      </c>
      <c r="G173" s="5">
        <f t="shared" si="2"/>
        <v>22</v>
      </c>
      <c r="H173" s="5">
        <f t="shared" si="7"/>
        <v>6</v>
      </c>
      <c r="I173" s="6" t="str">
        <f t="shared" si="4"/>
        <v>junio</v>
      </c>
      <c r="J173" s="6" t="s">
        <v>1063</v>
      </c>
      <c r="K173" s="6" t="s">
        <v>1056</v>
      </c>
      <c r="L173" s="6" t="s">
        <v>1064</v>
      </c>
      <c r="M173" s="6">
        <v>9.68422894E8</v>
      </c>
      <c r="N173" s="6" t="s">
        <v>249</v>
      </c>
      <c r="O173" s="6" t="s">
        <v>32</v>
      </c>
      <c r="P173" s="7" t="s">
        <v>1058</v>
      </c>
      <c r="Q173" s="5">
        <f t="shared" si="5"/>
        <v>0</v>
      </c>
      <c r="R173" s="5">
        <f t="shared" si="6"/>
        <v>8</v>
      </c>
      <c r="S173" s="6" t="s">
        <v>46</v>
      </c>
      <c r="T173" s="36" t="s">
        <v>1059</v>
      </c>
      <c r="U173" s="6" t="s">
        <v>36</v>
      </c>
      <c r="V173" s="5" t="s">
        <v>37</v>
      </c>
      <c r="W173" s="24" t="s">
        <v>1060</v>
      </c>
      <c r="X173" s="5" t="s">
        <v>38</v>
      </c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8.0" hidden="1" customHeight="1">
      <c r="A174" s="11">
        <v>182.0</v>
      </c>
      <c r="B174" s="12" t="s">
        <v>1065</v>
      </c>
      <c r="C174" s="13" t="s">
        <v>1066</v>
      </c>
      <c r="D174" s="14" t="s">
        <v>26</v>
      </c>
      <c r="E174" s="35">
        <v>33185.0</v>
      </c>
      <c r="F174" s="13">
        <f t="shared" si="1"/>
        <v>43</v>
      </c>
      <c r="G174" s="13">
        <f t="shared" si="2"/>
        <v>13</v>
      </c>
      <c r="H174" s="13">
        <f t="shared" si="7"/>
        <v>8</v>
      </c>
      <c r="I174" s="14" t="str">
        <f t="shared" si="4"/>
        <v>agosto</v>
      </c>
      <c r="J174" s="14" t="s">
        <v>1067</v>
      </c>
      <c r="K174" s="14" t="s">
        <v>1056</v>
      </c>
      <c r="L174" s="14" t="s">
        <v>1068</v>
      </c>
      <c r="M174" s="14">
        <v>9.92894559E8</v>
      </c>
      <c r="N174" s="14" t="s">
        <v>31</v>
      </c>
      <c r="O174" s="14" t="s">
        <v>32</v>
      </c>
      <c r="P174" s="16" t="s">
        <v>1058</v>
      </c>
      <c r="Q174" s="13">
        <f t="shared" si="5"/>
        <v>0</v>
      </c>
      <c r="R174" s="13">
        <f t="shared" si="6"/>
        <v>8</v>
      </c>
      <c r="S174" s="14" t="s">
        <v>250</v>
      </c>
      <c r="T174" s="13">
        <v>2.0</v>
      </c>
      <c r="U174" s="14" t="s">
        <v>36</v>
      </c>
      <c r="V174" s="13" t="s">
        <v>37</v>
      </c>
      <c r="W174" s="24" t="s">
        <v>1060</v>
      </c>
      <c r="X174" s="13" t="s">
        <v>38</v>
      </c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ht="18.0" hidden="1" customHeight="1">
      <c r="A175" s="3">
        <v>183.0</v>
      </c>
      <c r="B175" s="4" t="s">
        <v>1069</v>
      </c>
      <c r="C175" s="5" t="s">
        <v>1070</v>
      </c>
      <c r="D175" s="6" t="s">
        <v>26</v>
      </c>
      <c r="E175" s="34">
        <v>28307.0</v>
      </c>
      <c r="F175" s="5">
        <f t="shared" si="1"/>
        <v>35</v>
      </c>
      <c r="G175" s="5">
        <f t="shared" si="2"/>
        <v>8</v>
      </c>
      <c r="H175" s="5">
        <f t="shared" si="7"/>
        <v>11</v>
      </c>
      <c r="I175" s="6" t="str">
        <f t="shared" si="4"/>
        <v>noviembre</v>
      </c>
      <c r="J175" s="6" t="s">
        <v>1071</v>
      </c>
      <c r="K175" s="6" t="s">
        <v>1056</v>
      </c>
      <c r="L175" s="6" t="s">
        <v>1072</v>
      </c>
      <c r="M175" s="6">
        <v>9.54605077E8</v>
      </c>
      <c r="N175" s="6" t="s">
        <v>61</v>
      </c>
      <c r="O175" s="6" t="s">
        <v>32</v>
      </c>
      <c r="P175" s="7" t="s">
        <v>1058</v>
      </c>
      <c r="Q175" s="5">
        <f t="shared" si="5"/>
        <v>0</v>
      </c>
      <c r="R175" s="5">
        <f t="shared" si="6"/>
        <v>8</v>
      </c>
      <c r="S175" s="6" t="s">
        <v>64</v>
      </c>
      <c r="T175" s="36" t="s">
        <v>1059</v>
      </c>
      <c r="U175" s="6" t="s">
        <v>36</v>
      </c>
      <c r="V175" s="5" t="s">
        <v>37</v>
      </c>
      <c r="W175" s="24" t="s">
        <v>1060</v>
      </c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8.0" hidden="1" customHeight="1">
      <c r="A176" s="11">
        <v>184.0</v>
      </c>
      <c r="B176" s="12" t="s">
        <v>1073</v>
      </c>
      <c r="C176" s="13" t="s">
        <v>1074</v>
      </c>
      <c r="D176" s="14" t="s">
        <v>26</v>
      </c>
      <c r="E176" s="35">
        <v>36628.0</v>
      </c>
      <c r="F176" s="13">
        <f t="shared" si="1"/>
        <v>48</v>
      </c>
      <c r="G176" s="13">
        <f t="shared" si="2"/>
        <v>1</v>
      </c>
      <c r="H176" s="13">
        <f t="shared" si="7"/>
        <v>7</v>
      </c>
      <c r="I176" s="14" t="str">
        <f t="shared" si="4"/>
        <v>julio</v>
      </c>
      <c r="J176" s="14" t="s">
        <v>1075</v>
      </c>
      <c r="K176" s="14" t="s">
        <v>68</v>
      </c>
      <c r="L176" s="14" t="s">
        <v>1076</v>
      </c>
      <c r="M176" s="14">
        <v>9.81414627E8</v>
      </c>
      <c r="N176" s="14" t="s">
        <v>125</v>
      </c>
      <c r="O176" s="14" t="s">
        <v>1077</v>
      </c>
      <c r="P176" s="16" t="s">
        <v>1078</v>
      </c>
      <c r="Q176" s="13">
        <f t="shared" si="5"/>
        <v>0</v>
      </c>
      <c r="R176" s="13">
        <f t="shared" si="6"/>
        <v>8</v>
      </c>
      <c r="S176" s="14" t="s">
        <v>250</v>
      </c>
      <c r="T176" s="13">
        <v>2.0</v>
      </c>
      <c r="U176" s="14" t="s">
        <v>36</v>
      </c>
      <c r="V176" s="13" t="s">
        <v>37</v>
      </c>
      <c r="W176" s="24" t="s">
        <v>1060</v>
      </c>
      <c r="X176" s="13" t="s">
        <v>38</v>
      </c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</row>
    <row r="177" ht="18.0" hidden="1" customHeight="1">
      <c r="A177" s="3">
        <v>185.0</v>
      </c>
      <c r="B177" s="4" t="s">
        <v>1079</v>
      </c>
      <c r="C177" s="5" t="s">
        <v>1080</v>
      </c>
      <c r="D177" s="6" t="s">
        <v>26</v>
      </c>
      <c r="E177" s="34">
        <v>30207.0</v>
      </c>
      <c r="F177" s="5">
        <f t="shared" si="1"/>
        <v>26</v>
      </c>
      <c r="G177" s="5">
        <f t="shared" si="2"/>
        <v>12</v>
      </c>
      <c r="H177" s="5">
        <f t="shared" si="7"/>
        <v>4</v>
      </c>
      <c r="I177" s="6" t="str">
        <f t="shared" si="4"/>
        <v>abril</v>
      </c>
      <c r="J177" s="6" t="s">
        <v>1081</v>
      </c>
      <c r="K177" s="6" t="s">
        <v>89</v>
      </c>
      <c r="L177" s="6" t="s">
        <v>1082</v>
      </c>
      <c r="M177" s="6">
        <v>7.1551423E7</v>
      </c>
      <c r="N177" s="6" t="s">
        <v>83</v>
      </c>
      <c r="O177" s="6" t="s">
        <v>32</v>
      </c>
      <c r="P177" s="7" t="s">
        <v>1083</v>
      </c>
      <c r="Q177" s="5">
        <f t="shared" si="5"/>
        <v>0</v>
      </c>
      <c r="R177" s="5">
        <f t="shared" si="6"/>
        <v>6</v>
      </c>
      <c r="S177" s="6" t="s">
        <v>64</v>
      </c>
      <c r="T177" s="36" t="s">
        <v>1059</v>
      </c>
      <c r="U177" s="6" t="s">
        <v>47</v>
      </c>
      <c r="V177" s="5" t="s">
        <v>48</v>
      </c>
      <c r="W177" s="24" t="s">
        <v>1060</v>
      </c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  <row r="178" ht="18.0" customHeight="1">
      <c r="A178" s="11">
        <v>186.0</v>
      </c>
      <c r="B178" s="12" t="s">
        <v>1084</v>
      </c>
      <c r="C178" s="13" t="s">
        <v>1085</v>
      </c>
      <c r="D178" s="14" t="s">
        <v>26</v>
      </c>
      <c r="E178" s="35">
        <v>32227.0</v>
      </c>
      <c r="F178" s="13">
        <f t="shared" si="1"/>
        <v>43</v>
      </c>
      <c r="G178" s="13">
        <f t="shared" si="2"/>
        <v>13</v>
      </c>
      <c r="H178" s="13">
        <f t="shared" si="7"/>
        <v>9</v>
      </c>
      <c r="I178" s="14" t="str">
        <f t="shared" si="4"/>
        <v>septiembre</v>
      </c>
      <c r="J178" s="14" t="s">
        <v>1086</v>
      </c>
      <c r="K178" s="14" t="s">
        <v>53</v>
      </c>
      <c r="L178" s="14" t="s">
        <v>1087</v>
      </c>
      <c r="M178" s="14">
        <v>9.82375753E8</v>
      </c>
      <c r="N178" s="14" t="s">
        <v>249</v>
      </c>
      <c r="O178" s="14" t="s">
        <v>32</v>
      </c>
      <c r="P178" s="16" t="s">
        <v>1088</v>
      </c>
      <c r="Q178" s="13">
        <f t="shared" si="5"/>
        <v>0</v>
      </c>
      <c r="R178" s="13">
        <f t="shared" si="6"/>
        <v>6</v>
      </c>
      <c r="S178" s="14" t="s">
        <v>250</v>
      </c>
      <c r="T178" s="13">
        <v>2.0</v>
      </c>
      <c r="U178" s="14" t="s">
        <v>36</v>
      </c>
      <c r="V178" s="13" t="s">
        <v>37</v>
      </c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</row>
    <row r="179" ht="18.0" hidden="1" customHeight="1">
      <c r="A179" s="3">
        <v>187.0</v>
      </c>
      <c r="B179" s="4" t="s">
        <v>1089</v>
      </c>
      <c r="C179" s="5" t="s">
        <v>1090</v>
      </c>
      <c r="D179" s="6" t="s">
        <v>26</v>
      </c>
      <c r="E179" s="34">
        <v>34424.0</v>
      </c>
      <c r="F179" s="5">
        <f t="shared" si="1"/>
        <v>38</v>
      </c>
      <c r="G179" s="5">
        <f t="shared" si="2"/>
        <v>25</v>
      </c>
      <c r="H179" s="5">
        <f t="shared" si="7"/>
        <v>3</v>
      </c>
      <c r="I179" s="6" t="str">
        <f t="shared" si="4"/>
        <v>marzo</v>
      </c>
      <c r="J179" s="6" t="s">
        <v>620</v>
      </c>
      <c r="K179" s="6" t="s">
        <v>29</v>
      </c>
      <c r="L179" s="6" t="s">
        <v>1091</v>
      </c>
      <c r="M179" s="6">
        <v>9.46979618E8</v>
      </c>
      <c r="N179" s="6" t="s">
        <v>70</v>
      </c>
      <c r="O179" s="6" t="s">
        <v>32</v>
      </c>
      <c r="P179" s="7" t="s">
        <v>1088</v>
      </c>
      <c r="Q179" s="5">
        <f t="shared" si="5"/>
        <v>0</v>
      </c>
      <c r="R179" s="5">
        <f t="shared" si="6"/>
        <v>5</v>
      </c>
      <c r="S179" s="6" t="s">
        <v>250</v>
      </c>
      <c r="T179" s="5">
        <v>2.0</v>
      </c>
      <c r="U179" s="6" t="s">
        <v>36</v>
      </c>
      <c r="V179" s="5" t="s">
        <v>37</v>
      </c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8.0" hidden="1" customHeight="1">
      <c r="A180" s="11">
        <v>188.0</v>
      </c>
      <c r="B180" s="12" t="s">
        <v>1092</v>
      </c>
      <c r="C180" s="13" t="s">
        <v>1093</v>
      </c>
      <c r="D180" s="14" t="s">
        <v>26</v>
      </c>
      <c r="E180" s="35">
        <v>34514.0</v>
      </c>
      <c r="F180" s="13">
        <f t="shared" si="1"/>
        <v>32</v>
      </c>
      <c r="G180" s="13">
        <f t="shared" si="2"/>
        <v>31</v>
      </c>
      <c r="H180" s="13">
        <f t="shared" si="7"/>
        <v>3</v>
      </c>
      <c r="I180" s="14" t="str">
        <f t="shared" si="4"/>
        <v>marzo</v>
      </c>
      <c r="J180" s="14" t="s">
        <v>620</v>
      </c>
      <c r="K180" s="14" t="s">
        <v>29</v>
      </c>
      <c r="L180" s="14" t="s">
        <v>1094</v>
      </c>
      <c r="M180" s="14">
        <v>9.87654167E8</v>
      </c>
      <c r="N180" s="14" t="s">
        <v>70</v>
      </c>
      <c r="O180" s="14" t="s">
        <v>32</v>
      </c>
      <c r="P180" s="16" t="s">
        <v>1088</v>
      </c>
      <c r="Q180" s="13">
        <f t="shared" si="5"/>
        <v>0</v>
      </c>
      <c r="R180" s="13">
        <f t="shared" si="6"/>
        <v>5</v>
      </c>
      <c r="S180" s="14" t="s">
        <v>46</v>
      </c>
      <c r="T180" s="36" t="s">
        <v>1059</v>
      </c>
      <c r="U180" s="14" t="s">
        <v>36</v>
      </c>
      <c r="V180" s="13" t="s">
        <v>37</v>
      </c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ht="18.0" customHeight="1">
      <c r="A181" s="37"/>
      <c r="B181" s="10"/>
      <c r="C181" s="10"/>
      <c r="D181" s="38"/>
      <c r="E181" s="38"/>
      <c r="F181" s="10"/>
      <c r="G181" s="10"/>
      <c r="H181" s="10"/>
      <c r="I181" s="10"/>
      <c r="J181" s="10"/>
      <c r="K181" s="38"/>
      <c r="L181" s="10"/>
      <c r="M181" s="38"/>
      <c r="N181" s="38"/>
      <c r="O181" s="38"/>
      <c r="P181" s="39"/>
      <c r="Q181" s="39"/>
      <c r="R181" s="38"/>
      <c r="S181" s="38"/>
      <c r="T181" s="38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8.0" customHeight="1">
      <c r="A182" s="40"/>
      <c r="B182" s="17"/>
      <c r="C182" s="17"/>
      <c r="D182" s="41"/>
      <c r="E182" s="41"/>
      <c r="F182" s="17"/>
      <c r="G182" s="17"/>
      <c r="H182" s="17"/>
      <c r="I182" s="17"/>
      <c r="J182" s="17"/>
      <c r="K182" s="41"/>
      <c r="L182" s="17"/>
      <c r="M182" s="41"/>
      <c r="N182" s="41"/>
      <c r="O182" s="41"/>
      <c r="P182" s="42"/>
      <c r="Q182" s="42"/>
      <c r="R182" s="41"/>
      <c r="S182" s="41"/>
      <c r="T182" s="41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ht="18.0" customHeight="1">
      <c r="A183" s="37"/>
      <c r="B183" s="10"/>
      <c r="C183" s="10"/>
      <c r="D183" s="38"/>
      <c r="E183" s="38"/>
      <c r="F183" s="10"/>
      <c r="G183" s="10"/>
      <c r="H183" s="10"/>
      <c r="I183" s="10"/>
      <c r="J183" s="10"/>
      <c r="K183" s="38"/>
      <c r="L183" s="10"/>
      <c r="M183" s="38"/>
      <c r="N183" s="38"/>
      <c r="O183" s="38"/>
      <c r="P183" s="39"/>
      <c r="Q183" s="39"/>
      <c r="R183" s="38"/>
      <c r="S183" s="38"/>
      <c r="T183" s="38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8.0" customHeight="1">
      <c r="A184" s="40"/>
      <c r="B184" s="17"/>
      <c r="C184" s="17"/>
      <c r="D184" s="41"/>
      <c r="E184" s="41"/>
      <c r="F184" s="17"/>
      <c r="G184" s="17"/>
      <c r="H184" s="17"/>
      <c r="I184" s="17"/>
      <c r="J184" s="17"/>
      <c r="K184" s="41"/>
      <c r="L184" s="17"/>
      <c r="M184" s="41"/>
      <c r="N184" s="41"/>
      <c r="O184" s="41"/>
      <c r="P184" s="42"/>
      <c r="Q184" s="42"/>
      <c r="R184" s="41"/>
      <c r="S184" s="41"/>
      <c r="T184" s="41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ht="18.0" customHeight="1">
      <c r="A185" s="37"/>
      <c r="B185" s="4" t="s">
        <v>1</v>
      </c>
      <c r="C185" s="5" t="s">
        <v>2</v>
      </c>
      <c r="D185" s="6" t="s">
        <v>3</v>
      </c>
      <c r="E185" s="6" t="s">
        <v>4</v>
      </c>
      <c r="F185" s="5" t="s">
        <v>5</v>
      </c>
      <c r="G185" s="5" t="s">
        <v>6</v>
      </c>
      <c r="H185" s="5" t="s">
        <v>7</v>
      </c>
      <c r="I185" s="6" t="s">
        <v>8</v>
      </c>
      <c r="J185" s="6" t="s">
        <v>9</v>
      </c>
      <c r="K185" s="6" t="s">
        <v>10</v>
      </c>
      <c r="L185" s="6" t="s">
        <v>11</v>
      </c>
      <c r="M185" s="6" t="s">
        <v>12</v>
      </c>
      <c r="N185" s="6" t="s">
        <v>13</v>
      </c>
      <c r="O185" s="6" t="s">
        <v>14</v>
      </c>
      <c r="P185" s="6" t="s">
        <v>15</v>
      </c>
      <c r="Q185" s="5" t="s">
        <v>16</v>
      </c>
      <c r="R185" s="5" t="s">
        <v>17</v>
      </c>
      <c r="S185" s="6" t="s">
        <v>18</v>
      </c>
      <c r="T185" s="5" t="s">
        <v>19</v>
      </c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8.0" customHeight="1">
      <c r="A186" s="40"/>
      <c r="B186" s="12" t="s">
        <v>245</v>
      </c>
      <c r="C186" s="13" t="s">
        <v>246</v>
      </c>
      <c r="D186" s="14" t="s">
        <v>26</v>
      </c>
      <c r="E186" s="18">
        <v>29872.0</v>
      </c>
      <c r="F186" s="13">
        <v>44.0</v>
      </c>
      <c r="G186" s="13">
        <v>13.0</v>
      </c>
      <c r="H186" s="13">
        <v>10.0</v>
      </c>
      <c r="I186" s="14" t="s">
        <v>1095</v>
      </c>
      <c r="J186" s="14" t="s">
        <v>247</v>
      </c>
      <c r="K186" s="14" t="s">
        <v>53</v>
      </c>
      <c r="L186" s="14" t="s">
        <v>248</v>
      </c>
      <c r="M186" s="14">
        <v>5.6976731935E10</v>
      </c>
      <c r="N186" s="14" t="s">
        <v>249</v>
      </c>
      <c r="O186" s="14" t="s">
        <v>32</v>
      </c>
      <c r="P186" s="16" t="s">
        <v>126</v>
      </c>
      <c r="Q186" s="13">
        <v>1.0</v>
      </c>
      <c r="R186" s="13">
        <v>2.0</v>
      </c>
      <c r="S186" s="14" t="s">
        <v>1096</v>
      </c>
      <c r="T186" s="13">
        <v>2.0</v>
      </c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ht="18.0" customHeight="1">
      <c r="A187" s="37"/>
      <c r="B187" s="4" t="s">
        <v>252</v>
      </c>
      <c r="C187" s="5" t="s">
        <v>253</v>
      </c>
      <c r="D187" s="6" t="s">
        <v>26</v>
      </c>
      <c r="E187" s="7" t="s">
        <v>254</v>
      </c>
      <c r="F187" s="5">
        <v>49.0</v>
      </c>
      <c r="G187" s="5">
        <v>6.0</v>
      </c>
      <c r="H187" s="5">
        <v>2.0</v>
      </c>
      <c r="I187" s="6" t="s">
        <v>1097</v>
      </c>
      <c r="J187" s="6" t="s">
        <v>255</v>
      </c>
      <c r="K187" s="6" t="s">
        <v>256</v>
      </c>
      <c r="L187" s="6" t="s">
        <v>257</v>
      </c>
      <c r="M187" s="6">
        <v>8.1600316E7</v>
      </c>
      <c r="N187" s="6" t="s">
        <v>249</v>
      </c>
      <c r="O187" s="6" t="s">
        <v>32</v>
      </c>
      <c r="P187" s="7" t="s">
        <v>258</v>
      </c>
      <c r="Q187" s="32">
        <v>4.0</v>
      </c>
      <c r="R187" s="5">
        <v>3.0</v>
      </c>
      <c r="S187" s="6" t="s">
        <v>1096</v>
      </c>
      <c r="T187" s="5">
        <v>2.0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8.0" customHeight="1">
      <c r="A188" s="40"/>
      <c r="B188" s="12" t="s">
        <v>293</v>
      </c>
      <c r="C188" s="13" t="s">
        <v>294</v>
      </c>
      <c r="D188" s="14" t="s">
        <v>26</v>
      </c>
      <c r="E188" s="16" t="s">
        <v>295</v>
      </c>
      <c r="F188" s="13">
        <v>33.0</v>
      </c>
      <c r="G188" s="13">
        <v>8.0</v>
      </c>
      <c r="H188" s="13">
        <v>6.0</v>
      </c>
      <c r="I188" s="14" t="s">
        <v>1098</v>
      </c>
      <c r="J188" s="14" t="s">
        <v>296</v>
      </c>
      <c r="K188" s="14" t="s">
        <v>297</v>
      </c>
      <c r="L188" s="14" t="s">
        <v>298</v>
      </c>
      <c r="M188" s="14">
        <v>8.8283926E7</v>
      </c>
      <c r="N188" s="14" t="s">
        <v>70</v>
      </c>
      <c r="O188" s="14" t="s">
        <v>32</v>
      </c>
      <c r="P188" s="16" t="s">
        <v>299</v>
      </c>
      <c r="Q188" s="13">
        <v>6.0</v>
      </c>
      <c r="R188" s="13">
        <v>2.0</v>
      </c>
      <c r="S188" s="14" t="s">
        <v>1096</v>
      </c>
      <c r="T188" s="13">
        <v>2.0</v>
      </c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ht="18.0" customHeight="1">
      <c r="A189" s="37"/>
      <c r="B189" s="4" t="s">
        <v>421</v>
      </c>
      <c r="C189" s="5" t="s">
        <v>422</v>
      </c>
      <c r="D189" s="6" t="s">
        <v>26</v>
      </c>
      <c r="E189" s="7" t="s">
        <v>423</v>
      </c>
      <c r="F189" s="5">
        <v>32.0</v>
      </c>
      <c r="G189" s="5">
        <v>2.0</v>
      </c>
      <c r="H189" s="5">
        <v>10.0</v>
      </c>
      <c r="I189" s="6" t="s">
        <v>1095</v>
      </c>
      <c r="J189" s="6" t="s">
        <v>424</v>
      </c>
      <c r="K189" s="6" t="s">
        <v>210</v>
      </c>
      <c r="L189" s="6" t="s">
        <v>425</v>
      </c>
      <c r="M189" s="6">
        <v>9.0007155E7</v>
      </c>
      <c r="N189" s="6" t="s">
        <v>70</v>
      </c>
      <c r="O189" s="6" t="s">
        <v>32</v>
      </c>
      <c r="P189" s="7" t="s">
        <v>426</v>
      </c>
      <c r="Q189" s="5">
        <v>9.0</v>
      </c>
      <c r="R189" s="5">
        <v>2.0</v>
      </c>
      <c r="S189" s="6" t="s">
        <v>1096</v>
      </c>
      <c r="T189" s="5">
        <v>1.0</v>
      </c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8.0" customHeight="1">
      <c r="A190" s="40"/>
      <c r="B190" s="12" t="s">
        <v>448</v>
      </c>
      <c r="C190" s="13" t="s">
        <v>449</v>
      </c>
      <c r="D190" s="14" t="s">
        <v>26</v>
      </c>
      <c r="E190" s="18">
        <v>24235.0</v>
      </c>
      <c r="F190" s="13">
        <v>59.0</v>
      </c>
      <c r="G190" s="13">
        <v>8.0</v>
      </c>
      <c r="H190" s="13">
        <v>5.0</v>
      </c>
      <c r="I190" s="14" t="s">
        <v>1099</v>
      </c>
      <c r="J190" s="14" t="s">
        <v>450</v>
      </c>
      <c r="K190" s="14" t="s">
        <v>29</v>
      </c>
      <c r="L190" s="14" t="s">
        <v>451</v>
      </c>
      <c r="M190" s="14">
        <v>9.81218337E8</v>
      </c>
      <c r="N190" s="14" t="s">
        <v>249</v>
      </c>
      <c r="O190" s="14" t="s">
        <v>62</v>
      </c>
      <c r="P190" s="16" t="s">
        <v>452</v>
      </c>
      <c r="Q190" s="13">
        <v>1.0</v>
      </c>
      <c r="R190" s="13">
        <v>8.0</v>
      </c>
      <c r="S190" s="14" t="s">
        <v>1096</v>
      </c>
      <c r="T190" s="13">
        <v>2.0</v>
      </c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ht="18.0" customHeight="1">
      <c r="A191" s="37"/>
      <c r="B191" s="4" t="s">
        <v>512</v>
      </c>
      <c r="C191" s="5" t="s">
        <v>513</v>
      </c>
      <c r="D191" s="6" t="s">
        <v>26</v>
      </c>
      <c r="E191" s="20">
        <v>33897.0</v>
      </c>
      <c r="F191" s="5">
        <v>33.0</v>
      </c>
      <c r="G191" s="5">
        <v>20.0</v>
      </c>
      <c r="H191" s="5">
        <v>10.0</v>
      </c>
      <c r="I191" s="6" t="s">
        <v>1095</v>
      </c>
      <c r="J191" s="6" t="s">
        <v>514</v>
      </c>
      <c r="K191" s="6" t="s">
        <v>131</v>
      </c>
      <c r="L191" s="6" t="s">
        <v>515</v>
      </c>
      <c r="M191" s="6">
        <v>9.44034869E8</v>
      </c>
      <c r="N191" s="6" t="s">
        <v>91</v>
      </c>
      <c r="O191" s="6" t="s">
        <v>100</v>
      </c>
      <c r="P191" s="7" t="s">
        <v>126</v>
      </c>
      <c r="Q191" s="5">
        <v>1.0</v>
      </c>
      <c r="R191" s="5">
        <v>2.0</v>
      </c>
      <c r="S191" s="6" t="s">
        <v>1096</v>
      </c>
      <c r="T191" s="5">
        <v>2.0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8.0" customHeight="1">
      <c r="A192" s="40"/>
      <c r="B192" s="12" t="s">
        <v>574</v>
      </c>
      <c r="C192" s="13" t="s">
        <v>575</v>
      </c>
      <c r="D192" s="14" t="s">
        <v>26</v>
      </c>
      <c r="E192" s="16" t="s">
        <v>576</v>
      </c>
      <c r="F192" s="13">
        <v>35.0</v>
      </c>
      <c r="G192" s="13">
        <v>2.0</v>
      </c>
      <c r="H192" s="13">
        <v>1.0</v>
      </c>
      <c r="I192" s="14" t="s">
        <v>1100</v>
      </c>
      <c r="J192" s="14" t="s">
        <v>577</v>
      </c>
      <c r="K192" s="14" t="s">
        <v>29</v>
      </c>
      <c r="L192" s="14" t="s">
        <v>578</v>
      </c>
      <c r="M192" s="14">
        <v>8.2533255E7</v>
      </c>
      <c r="N192" s="14" t="s">
        <v>83</v>
      </c>
      <c r="O192" s="14" t="s">
        <v>32</v>
      </c>
      <c r="P192" s="16" t="s">
        <v>579</v>
      </c>
      <c r="Q192" s="13">
        <v>14.0</v>
      </c>
      <c r="R192" s="13">
        <v>7.0</v>
      </c>
      <c r="S192" s="14" t="s">
        <v>1096</v>
      </c>
      <c r="T192" s="13">
        <v>2.0</v>
      </c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ht="18.0" customHeight="1">
      <c r="A193" s="37"/>
      <c r="B193" s="4" t="s">
        <v>668</v>
      </c>
      <c r="C193" s="5" t="s">
        <v>669</v>
      </c>
      <c r="D193" s="6" t="s">
        <v>26</v>
      </c>
      <c r="E193" s="7" t="s">
        <v>670</v>
      </c>
      <c r="F193" s="5">
        <v>51.0</v>
      </c>
      <c r="G193" s="5">
        <v>8.0</v>
      </c>
      <c r="H193" s="5">
        <v>1.0</v>
      </c>
      <c r="I193" s="6" t="s">
        <v>1100</v>
      </c>
      <c r="J193" s="6" t="s">
        <v>671</v>
      </c>
      <c r="K193" s="6" t="s">
        <v>43</v>
      </c>
      <c r="L193" s="6" t="s">
        <v>672</v>
      </c>
      <c r="M193" s="6">
        <v>6.5711784E7</v>
      </c>
      <c r="N193" s="6" t="s">
        <v>91</v>
      </c>
      <c r="O193" s="6" t="s">
        <v>62</v>
      </c>
      <c r="P193" s="7" t="s">
        <v>673</v>
      </c>
      <c r="Q193" s="5">
        <v>12.0</v>
      </c>
      <c r="R193" s="5">
        <v>10.0</v>
      </c>
      <c r="S193" s="6" t="s">
        <v>1096</v>
      </c>
      <c r="T193" s="5">
        <v>2.0</v>
      </c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8.0" customHeight="1">
      <c r="A194" s="40"/>
      <c r="B194" s="12" t="s">
        <v>729</v>
      </c>
      <c r="C194" s="13" t="s">
        <v>730</v>
      </c>
      <c r="D194" s="14" t="s">
        <v>26</v>
      </c>
      <c r="E194" s="25">
        <v>34342.0</v>
      </c>
      <c r="F194" s="13">
        <v>31.0</v>
      </c>
      <c r="G194" s="13">
        <v>8.0</v>
      </c>
      <c r="H194" s="13">
        <v>1.0</v>
      </c>
      <c r="I194" s="14" t="s">
        <v>1100</v>
      </c>
      <c r="J194" s="14" t="s">
        <v>731</v>
      </c>
      <c r="K194" s="14" t="s">
        <v>123</v>
      </c>
      <c r="L194" s="14" t="s">
        <v>732</v>
      </c>
      <c r="M194" s="14">
        <v>9.57514791E8</v>
      </c>
      <c r="N194" s="14" t="s">
        <v>125</v>
      </c>
      <c r="O194" s="14" t="s">
        <v>32</v>
      </c>
      <c r="P194" s="25">
        <v>44440.0</v>
      </c>
      <c r="Q194" s="13">
        <v>4.0</v>
      </c>
      <c r="R194" s="13">
        <v>3.0</v>
      </c>
      <c r="S194" s="14" t="s">
        <v>1096</v>
      </c>
      <c r="T194" s="13">
        <v>2.0</v>
      </c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ht="18.0" customHeight="1">
      <c r="A195" s="37"/>
      <c r="B195" s="4" t="s">
        <v>833</v>
      </c>
      <c r="C195" s="5" t="s">
        <v>834</v>
      </c>
      <c r="D195" s="6" t="s">
        <v>26</v>
      </c>
      <c r="E195" s="7" t="s">
        <v>835</v>
      </c>
      <c r="F195" s="5">
        <v>44.0</v>
      </c>
      <c r="G195" s="5">
        <v>27.0</v>
      </c>
      <c r="H195" s="5">
        <v>5.0</v>
      </c>
      <c r="I195" s="6" t="s">
        <v>1099</v>
      </c>
      <c r="J195" s="6" t="s">
        <v>836</v>
      </c>
      <c r="K195" s="6" t="s">
        <v>43</v>
      </c>
      <c r="L195" s="6" t="s">
        <v>837</v>
      </c>
      <c r="M195" s="6">
        <v>9.7172035E7</v>
      </c>
      <c r="N195" s="6" t="s">
        <v>83</v>
      </c>
      <c r="O195" s="6" t="s">
        <v>100</v>
      </c>
      <c r="P195" s="7" t="s">
        <v>838</v>
      </c>
      <c r="Q195" s="5">
        <v>15.0</v>
      </c>
      <c r="R195" s="5">
        <v>8.0</v>
      </c>
      <c r="S195" s="6" t="s">
        <v>1096</v>
      </c>
      <c r="T195" s="5">
        <v>1.0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8.0" customHeight="1">
      <c r="A196" s="40"/>
      <c r="B196" s="12" t="s">
        <v>844</v>
      </c>
      <c r="C196" s="13" t="s">
        <v>845</v>
      </c>
      <c r="D196" s="14" t="s">
        <v>26</v>
      </c>
      <c r="E196" s="15">
        <v>34202.0</v>
      </c>
      <c r="F196" s="13">
        <v>32.0</v>
      </c>
      <c r="G196" s="13">
        <v>21.0</v>
      </c>
      <c r="H196" s="13">
        <v>8.0</v>
      </c>
      <c r="I196" s="14" t="s">
        <v>1101</v>
      </c>
      <c r="J196" s="14" t="s">
        <v>846</v>
      </c>
      <c r="K196" s="14" t="s">
        <v>68</v>
      </c>
      <c r="L196" s="14" t="s">
        <v>847</v>
      </c>
      <c r="M196" s="14">
        <v>9.78654966E8</v>
      </c>
      <c r="N196" s="14" t="s">
        <v>31</v>
      </c>
      <c r="O196" s="14" t="s">
        <v>32</v>
      </c>
      <c r="P196" s="16" t="s">
        <v>848</v>
      </c>
      <c r="Q196" s="13">
        <v>4.0</v>
      </c>
      <c r="R196" s="13">
        <v>1.0</v>
      </c>
      <c r="S196" s="14" t="s">
        <v>1096</v>
      </c>
      <c r="T196" s="13">
        <v>2.0</v>
      </c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ht="18.0" customHeight="1">
      <c r="A197" s="37"/>
      <c r="B197" s="4" t="s">
        <v>863</v>
      </c>
      <c r="C197" s="5" t="s">
        <v>864</v>
      </c>
      <c r="D197" s="6" t="s">
        <v>26</v>
      </c>
      <c r="E197" s="7" t="s">
        <v>865</v>
      </c>
      <c r="F197" s="5">
        <v>43.0</v>
      </c>
      <c r="G197" s="5">
        <v>16.0</v>
      </c>
      <c r="H197" s="5">
        <v>3.0</v>
      </c>
      <c r="I197" s="6" t="s">
        <v>1102</v>
      </c>
      <c r="J197" s="6" t="s">
        <v>866</v>
      </c>
      <c r="K197" s="6" t="s">
        <v>29</v>
      </c>
      <c r="L197" s="6" t="s">
        <v>867</v>
      </c>
      <c r="M197" s="6">
        <v>7.5392167E7</v>
      </c>
      <c r="N197" s="6" t="s">
        <v>868</v>
      </c>
      <c r="O197" s="6" t="s">
        <v>92</v>
      </c>
      <c r="P197" s="7" t="s">
        <v>869</v>
      </c>
      <c r="Q197" s="5">
        <v>15.0</v>
      </c>
      <c r="R197" s="5">
        <v>0.0</v>
      </c>
      <c r="S197" s="6" t="s">
        <v>1096</v>
      </c>
      <c r="T197" s="5">
        <v>2.0</v>
      </c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8.0" customHeight="1">
      <c r="A198" s="40"/>
      <c r="B198" s="12" t="s">
        <v>951</v>
      </c>
      <c r="C198" s="13" t="s">
        <v>952</v>
      </c>
      <c r="D198" s="14" t="s">
        <v>26</v>
      </c>
      <c r="E198" s="16" t="s">
        <v>953</v>
      </c>
      <c r="F198" s="13">
        <v>35.0</v>
      </c>
      <c r="G198" s="13">
        <v>31.0</v>
      </c>
      <c r="H198" s="13">
        <v>12.0</v>
      </c>
      <c r="I198" s="14" t="s">
        <v>1103</v>
      </c>
      <c r="J198" s="14" t="s">
        <v>954</v>
      </c>
      <c r="K198" s="14" t="s">
        <v>571</v>
      </c>
      <c r="L198" s="14" t="s">
        <v>955</v>
      </c>
      <c r="M198" s="14">
        <v>8.4488825E7</v>
      </c>
      <c r="N198" s="14" t="s">
        <v>61</v>
      </c>
      <c r="O198" s="14" t="s">
        <v>32</v>
      </c>
      <c r="P198" s="16" t="s">
        <v>956</v>
      </c>
      <c r="Q198" s="13">
        <v>10.0</v>
      </c>
      <c r="R198" s="13">
        <v>7.0</v>
      </c>
      <c r="S198" s="14" t="s">
        <v>1096</v>
      </c>
      <c r="T198" s="13">
        <v>2.0</v>
      </c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ht="18.0" customHeight="1">
      <c r="A199" s="37"/>
      <c r="B199" s="4" t="s">
        <v>957</v>
      </c>
      <c r="C199" s="5" t="s">
        <v>958</v>
      </c>
      <c r="D199" s="6" t="s">
        <v>26</v>
      </c>
      <c r="E199" s="7" t="s">
        <v>959</v>
      </c>
      <c r="F199" s="5">
        <v>36.0</v>
      </c>
      <c r="G199" s="5">
        <v>16.0</v>
      </c>
      <c r="H199" s="5">
        <v>10.0</v>
      </c>
      <c r="I199" s="6" t="s">
        <v>1095</v>
      </c>
      <c r="J199" s="6" t="s">
        <v>960</v>
      </c>
      <c r="K199" s="6" t="s">
        <v>68</v>
      </c>
      <c r="L199" s="6" t="s">
        <v>961</v>
      </c>
      <c r="M199" s="6">
        <v>9.97843806E8</v>
      </c>
      <c r="N199" s="6" t="s">
        <v>91</v>
      </c>
      <c r="O199" s="6" t="s">
        <v>100</v>
      </c>
      <c r="P199" s="7" t="s">
        <v>962</v>
      </c>
      <c r="Q199" s="5">
        <v>4.0</v>
      </c>
      <c r="R199" s="5">
        <v>0.0</v>
      </c>
      <c r="S199" s="6" t="s">
        <v>1096</v>
      </c>
      <c r="T199" s="5">
        <v>2.0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8.0" customHeight="1">
      <c r="A200" s="40"/>
      <c r="B200" s="12" t="s">
        <v>980</v>
      </c>
      <c r="C200" s="13" t="s">
        <v>981</v>
      </c>
      <c r="D200" s="14" t="s">
        <v>26</v>
      </c>
      <c r="E200" s="18">
        <v>32681.0</v>
      </c>
      <c r="F200" s="13">
        <v>36.0</v>
      </c>
      <c r="G200" s="13">
        <v>22.0</v>
      </c>
      <c r="H200" s="13">
        <v>6.0</v>
      </c>
      <c r="I200" s="14" t="s">
        <v>1098</v>
      </c>
      <c r="J200" s="14" t="s">
        <v>982</v>
      </c>
      <c r="K200" s="14" t="s">
        <v>68</v>
      </c>
      <c r="L200" s="14" t="s">
        <v>983</v>
      </c>
      <c r="M200" s="14">
        <v>9.9004277E8</v>
      </c>
      <c r="N200" s="14" t="s">
        <v>61</v>
      </c>
      <c r="O200" s="14" t="s">
        <v>32</v>
      </c>
      <c r="P200" s="16" t="s">
        <v>984</v>
      </c>
      <c r="Q200" s="13">
        <v>1.0</v>
      </c>
      <c r="R200" s="13">
        <v>6.0</v>
      </c>
      <c r="S200" s="14" t="s">
        <v>1096</v>
      </c>
      <c r="T200" s="13">
        <v>2.0</v>
      </c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ht="18.0" customHeight="1">
      <c r="A201" s="37"/>
      <c r="B201" s="4" t="s">
        <v>1007</v>
      </c>
      <c r="C201" s="5" t="s">
        <v>1008</v>
      </c>
      <c r="D201" s="6" t="s">
        <v>26</v>
      </c>
      <c r="E201" s="7" t="s">
        <v>1009</v>
      </c>
      <c r="F201" s="5">
        <v>33.0</v>
      </c>
      <c r="G201" s="5">
        <v>14.0</v>
      </c>
      <c r="H201" s="5">
        <v>8.0</v>
      </c>
      <c r="I201" s="6" t="s">
        <v>1101</v>
      </c>
      <c r="J201" s="6" t="s">
        <v>1010</v>
      </c>
      <c r="K201" s="6" t="s">
        <v>131</v>
      </c>
      <c r="L201" s="6" t="s">
        <v>1011</v>
      </c>
      <c r="M201" s="6">
        <v>9.53600463E8</v>
      </c>
      <c r="N201" s="6" t="s">
        <v>685</v>
      </c>
      <c r="O201" s="6" t="s">
        <v>1012</v>
      </c>
      <c r="P201" s="7" t="s">
        <v>1013</v>
      </c>
      <c r="Q201" s="5">
        <v>3.0</v>
      </c>
      <c r="R201" s="5">
        <v>10.0</v>
      </c>
      <c r="S201" s="6" t="s">
        <v>1096</v>
      </c>
      <c r="T201" s="5">
        <v>2.0</v>
      </c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8.0" customHeight="1">
      <c r="A202" s="40"/>
      <c r="B202" s="12" t="s">
        <v>1065</v>
      </c>
      <c r="C202" s="13" t="s">
        <v>1066</v>
      </c>
      <c r="D202" s="14" t="s">
        <v>26</v>
      </c>
      <c r="E202" s="35">
        <v>33185.0</v>
      </c>
      <c r="F202" s="13">
        <v>35.0</v>
      </c>
      <c r="G202" s="13">
        <v>8.0</v>
      </c>
      <c r="H202" s="13">
        <v>11.0</v>
      </c>
      <c r="I202" s="14" t="s">
        <v>1104</v>
      </c>
      <c r="J202" s="14" t="s">
        <v>1067</v>
      </c>
      <c r="K202" s="14" t="s">
        <v>1056</v>
      </c>
      <c r="L202" s="14" t="s">
        <v>1068</v>
      </c>
      <c r="M202" s="14">
        <v>9.92894559E8</v>
      </c>
      <c r="N202" s="14" t="s">
        <v>31</v>
      </c>
      <c r="O202" s="14" t="s">
        <v>32</v>
      </c>
      <c r="P202" s="16" t="s">
        <v>1058</v>
      </c>
      <c r="Q202" s="13">
        <v>0.0</v>
      </c>
      <c r="R202" s="13">
        <v>2.0</v>
      </c>
      <c r="S202" s="14" t="s">
        <v>1096</v>
      </c>
      <c r="T202" s="13">
        <v>2.0</v>
      </c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ht="18.0" customHeight="1">
      <c r="A203" s="37"/>
      <c r="B203" s="4" t="s">
        <v>1073</v>
      </c>
      <c r="C203" s="5" t="s">
        <v>1074</v>
      </c>
      <c r="D203" s="6" t="s">
        <v>26</v>
      </c>
      <c r="E203" s="34">
        <v>36628.0</v>
      </c>
      <c r="F203" s="5">
        <v>25.0</v>
      </c>
      <c r="G203" s="5">
        <v>12.0</v>
      </c>
      <c r="H203" s="5">
        <v>4.0</v>
      </c>
      <c r="I203" s="6" t="s">
        <v>1105</v>
      </c>
      <c r="J203" s="6" t="s">
        <v>1075</v>
      </c>
      <c r="K203" s="6" t="s">
        <v>68</v>
      </c>
      <c r="L203" s="6" t="s">
        <v>1076</v>
      </c>
      <c r="M203" s="6">
        <v>9.81414627E8</v>
      </c>
      <c r="N203" s="6" t="s">
        <v>125</v>
      </c>
      <c r="O203" s="6" t="s">
        <v>1077</v>
      </c>
      <c r="P203" s="7" t="s">
        <v>1078</v>
      </c>
      <c r="Q203" s="5">
        <v>0.0</v>
      </c>
      <c r="R203" s="5">
        <v>0.0</v>
      </c>
      <c r="S203" s="6" t="s">
        <v>1106</v>
      </c>
      <c r="T203" s="5">
        <v>2.0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8.0" customHeight="1">
      <c r="A204" s="40"/>
      <c r="B204" s="12" t="s">
        <v>1084</v>
      </c>
      <c r="C204" s="13" t="s">
        <v>1085</v>
      </c>
      <c r="D204" s="14" t="s">
        <v>26</v>
      </c>
      <c r="E204" s="35">
        <v>32227.0</v>
      </c>
      <c r="F204" s="13">
        <v>37.0</v>
      </c>
      <c r="G204" s="13">
        <v>25.0</v>
      </c>
      <c r="H204" s="13">
        <v>3.0</v>
      </c>
      <c r="I204" s="14" t="s">
        <v>1102</v>
      </c>
      <c r="J204" s="14" t="s">
        <v>1086</v>
      </c>
      <c r="K204" s="14" t="s">
        <v>53</v>
      </c>
      <c r="L204" s="14" t="s">
        <v>1087</v>
      </c>
      <c r="M204" s="14">
        <v>9.82375753E8</v>
      </c>
      <c r="N204" s="14" t="s">
        <v>249</v>
      </c>
      <c r="O204" s="14" t="s">
        <v>32</v>
      </c>
      <c r="P204" s="16" t="s">
        <v>1088</v>
      </c>
      <c r="Q204" s="13">
        <v>0.0</v>
      </c>
      <c r="R204" s="13">
        <v>0.0</v>
      </c>
      <c r="S204" s="14" t="s">
        <v>1096</v>
      </c>
      <c r="T204" s="13">
        <v>2.0</v>
      </c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ht="18.0" customHeight="1">
      <c r="A205" s="37"/>
      <c r="B205" s="4" t="s">
        <v>1089</v>
      </c>
      <c r="C205" s="5" t="s">
        <v>1090</v>
      </c>
      <c r="D205" s="6" t="s">
        <v>26</v>
      </c>
      <c r="E205" s="34">
        <v>34424.0</v>
      </c>
      <c r="F205" s="5">
        <v>31.0</v>
      </c>
      <c r="G205" s="5">
        <v>31.0</v>
      </c>
      <c r="H205" s="5">
        <v>3.0</v>
      </c>
      <c r="I205" s="6" t="s">
        <v>1102</v>
      </c>
      <c r="J205" s="6" t="s">
        <v>620</v>
      </c>
      <c r="K205" s="6" t="s">
        <v>29</v>
      </c>
      <c r="L205" s="6" t="s">
        <v>1091</v>
      </c>
      <c r="M205" s="6">
        <v>9.46979618E8</v>
      </c>
      <c r="N205" s="6" t="s">
        <v>70</v>
      </c>
      <c r="O205" s="6" t="s">
        <v>32</v>
      </c>
      <c r="P205" s="7" t="s">
        <v>1088</v>
      </c>
      <c r="Q205" s="5">
        <v>0.0</v>
      </c>
      <c r="R205" s="5">
        <v>0.0</v>
      </c>
      <c r="S205" s="6" t="s">
        <v>1096</v>
      </c>
      <c r="T205" s="5">
        <v>2.0</v>
      </c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8.0" customHeight="1">
      <c r="A206" s="40"/>
      <c r="B206" s="17"/>
      <c r="C206" s="17"/>
      <c r="D206" s="41"/>
      <c r="E206" s="41"/>
      <c r="F206" s="17"/>
      <c r="G206" s="17"/>
      <c r="H206" s="17"/>
      <c r="I206" s="17"/>
      <c r="J206" s="17"/>
      <c r="K206" s="41"/>
      <c r="L206" s="17"/>
      <c r="M206" s="41"/>
      <c r="N206" s="41"/>
      <c r="O206" s="41"/>
      <c r="P206" s="41"/>
      <c r="Q206" s="41"/>
      <c r="R206" s="41"/>
      <c r="S206" s="41"/>
      <c r="T206" s="41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ht="18.0" customHeight="1">
      <c r="A207" s="37"/>
      <c r="B207" s="10"/>
      <c r="C207" s="10"/>
      <c r="D207" s="38"/>
      <c r="E207" s="38"/>
      <c r="F207" s="10"/>
      <c r="G207" s="10"/>
      <c r="H207" s="10"/>
      <c r="I207" s="10"/>
      <c r="J207" s="10"/>
      <c r="K207" s="38"/>
      <c r="L207" s="10"/>
      <c r="M207" s="38"/>
      <c r="N207" s="38"/>
      <c r="O207" s="38"/>
      <c r="P207" s="38"/>
      <c r="Q207" s="38"/>
      <c r="R207" s="38"/>
      <c r="S207" s="38"/>
      <c r="T207" s="38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8.0" customHeight="1">
      <c r="A208" s="40"/>
      <c r="B208" s="17"/>
      <c r="C208" s="17"/>
      <c r="D208" s="41"/>
      <c r="E208" s="41"/>
      <c r="F208" s="17"/>
      <c r="G208" s="17"/>
      <c r="H208" s="17"/>
      <c r="I208" s="17"/>
      <c r="J208" s="17"/>
      <c r="K208" s="41"/>
      <c r="L208" s="17"/>
      <c r="M208" s="41"/>
      <c r="N208" s="41"/>
      <c r="O208" s="41"/>
      <c r="P208" s="41"/>
      <c r="Q208" s="41"/>
      <c r="R208" s="41"/>
      <c r="S208" s="41"/>
      <c r="T208" s="41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ht="18.0" customHeight="1">
      <c r="A209" s="37"/>
      <c r="B209" s="10"/>
      <c r="C209" s="10"/>
      <c r="D209" s="38"/>
      <c r="E209" s="38"/>
      <c r="F209" s="10"/>
      <c r="G209" s="10"/>
      <c r="H209" s="10"/>
      <c r="I209" s="10"/>
      <c r="J209" s="10"/>
      <c r="K209" s="38"/>
      <c r="L209" s="10"/>
      <c r="M209" s="38"/>
      <c r="N209" s="38"/>
      <c r="O209" s="38"/>
      <c r="P209" s="38"/>
      <c r="Q209" s="38"/>
      <c r="R209" s="38"/>
      <c r="S209" s="38"/>
      <c r="T209" s="38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8.0" customHeight="1">
      <c r="A210" s="40"/>
      <c r="B210" s="17"/>
      <c r="C210" s="17"/>
      <c r="D210" s="41"/>
      <c r="E210" s="41"/>
      <c r="F210" s="17"/>
      <c r="G210" s="17"/>
      <c r="H210" s="17"/>
      <c r="I210" s="17"/>
      <c r="J210" s="17"/>
      <c r="K210" s="41"/>
      <c r="L210" s="17"/>
      <c r="M210" s="41"/>
      <c r="N210" s="41"/>
      <c r="O210" s="41"/>
      <c r="P210" s="41"/>
      <c r="Q210" s="41"/>
      <c r="R210" s="41"/>
      <c r="S210" s="41"/>
      <c r="T210" s="41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ht="18.0" customHeight="1">
      <c r="A211" s="37"/>
      <c r="B211" s="10"/>
      <c r="C211" s="10"/>
      <c r="D211" s="38"/>
      <c r="E211" s="38"/>
      <c r="F211" s="10"/>
      <c r="G211" s="10"/>
      <c r="H211" s="10"/>
      <c r="I211" s="10"/>
      <c r="J211" s="10"/>
      <c r="K211" s="38"/>
      <c r="L211" s="10"/>
      <c r="M211" s="38"/>
      <c r="N211" s="38"/>
      <c r="O211" s="38"/>
      <c r="P211" s="38"/>
      <c r="Q211" s="38"/>
      <c r="R211" s="38"/>
      <c r="S211" s="38"/>
      <c r="T211" s="38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8.0" customHeight="1">
      <c r="A212" s="40"/>
      <c r="B212" s="17"/>
      <c r="C212" s="17"/>
      <c r="D212" s="41"/>
      <c r="E212" s="41"/>
      <c r="F212" s="17"/>
      <c r="G212" s="17"/>
      <c r="H212" s="17"/>
      <c r="I212" s="17"/>
      <c r="J212" s="17"/>
      <c r="K212" s="41"/>
      <c r="L212" s="17"/>
      <c r="M212" s="41"/>
      <c r="N212" s="41"/>
      <c r="O212" s="41"/>
      <c r="P212" s="41"/>
      <c r="Q212" s="41"/>
      <c r="R212" s="41"/>
      <c r="S212" s="41"/>
      <c r="T212" s="41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ht="18.0" customHeight="1">
      <c r="A213" s="37"/>
      <c r="B213" s="10"/>
      <c r="C213" s="10"/>
      <c r="D213" s="38"/>
      <c r="E213" s="38"/>
      <c r="F213" s="10"/>
      <c r="G213" s="10"/>
      <c r="H213" s="10"/>
      <c r="I213" s="10"/>
      <c r="J213" s="10"/>
      <c r="K213" s="38"/>
      <c r="L213" s="10"/>
      <c r="M213" s="38"/>
      <c r="N213" s="38"/>
      <c r="O213" s="38"/>
      <c r="P213" s="38"/>
      <c r="Q213" s="38"/>
      <c r="R213" s="38"/>
      <c r="S213" s="38"/>
      <c r="T213" s="38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8.0" customHeight="1">
      <c r="A214" s="40"/>
      <c r="B214" s="17"/>
      <c r="C214" s="17"/>
      <c r="D214" s="41"/>
      <c r="E214" s="41"/>
      <c r="F214" s="17"/>
      <c r="G214" s="17"/>
      <c r="H214" s="17"/>
      <c r="I214" s="17"/>
      <c r="J214" s="17"/>
      <c r="K214" s="41"/>
      <c r="L214" s="17"/>
      <c r="M214" s="41"/>
      <c r="N214" s="41"/>
      <c r="O214" s="41"/>
      <c r="P214" s="41"/>
      <c r="Q214" s="41"/>
      <c r="R214" s="41"/>
      <c r="S214" s="41"/>
      <c r="T214" s="41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ht="18.0" customHeight="1">
      <c r="A215" s="37"/>
      <c r="B215" s="10"/>
      <c r="C215" s="10"/>
      <c r="D215" s="38"/>
      <c r="E215" s="38"/>
      <c r="F215" s="10"/>
      <c r="G215" s="10"/>
      <c r="H215" s="10"/>
      <c r="I215" s="10"/>
      <c r="J215" s="10"/>
      <c r="K215" s="38"/>
      <c r="L215" s="10"/>
      <c r="M215" s="38"/>
      <c r="N215" s="38"/>
      <c r="O215" s="38"/>
      <c r="P215" s="38"/>
      <c r="Q215" s="38"/>
      <c r="R215" s="38"/>
      <c r="S215" s="38"/>
      <c r="T215" s="38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8.0" customHeight="1">
      <c r="A216" s="40"/>
      <c r="B216" s="17"/>
      <c r="C216" s="17"/>
      <c r="D216" s="41"/>
      <c r="E216" s="41"/>
      <c r="F216" s="17"/>
      <c r="G216" s="17"/>
      <c r="H216" s="17"/>
      <c r="I216" s="17"/>
      <c r="J216" s="17"/>
      <c r="K216" s="41"/>
      <c r="L216" s="17"/>
      <c r="M216" s="41"/>
      <c r="N216" s="41"/>
      <c r="O216" s="41"/>
      <c r="P216" s="41"/>
      <c r="Q216" s="41"/>
      <c r="R216" s="41"/>
      <c r="S216" s="41"/>
      <c r="T216" s="41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ht="18.0" customHeight="1">
      <c r="A217" s="37"/>
      <c r="B217" s="10"/>
      <c r="C217" s="10"/>
      <c r="D217" s="38"/>
      <c r="E217" s="38"/>
      <c r="F217" s="10"/>
      <c r="G217" s="10"/>
      <c r="H217" s="10"/>
      <c r="I217" s="10"/>
      <c r="J217" s="10"/>
      <c r="K217" s="38"/>
      <c r="L217" s="10"/>
      <c r="M217" s="38"/>
      <c r="N217" s="38"/>
      <c r="O217" s="38"/>
      <c r="P217" s="38"/>
      <c r="Q217" s="38"/>
      <c r="R217" s="38"/>
      <c r="S217" s="38"/>
      <c r="T217" s="38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8.0" customHeight="1">
      <c r="A218" s="40"/>
      <c r="B218" s="17"/>
      <c r="C218" s="17"/>
      <c r="D218" s="41"/>
      <c r="E218" s="41"/>
      <c r="F218" s="17"/>
      <c r="G218" s="17"/>
      <c r="H218" s="17"/>
      <c r="I218" s="17"/>
      <c r="J218" s="17"/>
      <c r="K218" s="41"/>
      <c r="L218" s="17"/>
      <c r="M218" s="41"/>
      <c r="N218" s="41"/>
      <c r="O218" s="41"/>
      <c r="P218" s="41"/>
      <c r="Q218" s="41"/>
      <c r="R218" s="41"/>
      <c r="S218" s="41"/>
      <c r="T218" s="41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ht="18.0" customHeight="1">
      <c r="A219" s="37"/>
      <c r="B219" s="10"/>
      <c r="C219" s="10"/>
      <c r="D219" s="38"/>
      <c r="E219" s="38"/>
      <c r="F219" s="10"/>
      <c r="G219" s="10"/>
      <c r="H219" s="10"/>
      <c r="I219" s="10"/>
      <c r="J219" s="10"/>
      <c r="K219" s="38"/>
      <c r="L219" s="10"/>
      <c r="M219" s="38"/>
      <c r="N219" s="38"/>
      <c r="O219" s="38"/>
      <c r="P219" s="38"/>
      <c r="Q219" s="38"/>
      <c r="R219" s="38"/>
      <c r="S219" s="38"/>
      <c r="T219" s="38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8.0" customHeight="1">
      <c r="A220" s="40"/>
      <c r="B220" s="17"/>
      <c r="C220" s="17"/>
      <c r="D220" s="41"/>
      <c r="E220" s="41"/>
      <c r="F220" s="17"/>
      <c r="G220" s="17"/>
      <c r="H220" s="17"/>
      <c r="I220" s="17"/>
      <c r="J220" s="17"/>
      <c r="K220" s="41"/>
      <c r="L220" s="17"/>
      <c r="M220" s="41"/>
      <c r="N220" s="41"/>
      <c r="O220" s="41"/>
      <c r="P220" s="41"/>
      <c r="Q220" s="41"/>
      <c r="R220" s="41"/>
      <c r="S220" s="41"/>
      <c r="T220" s="41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ht="18.0" customHeight="1">
      <c r="A221" s="37"/>
      <c r="B221" s="10"/>
      <c r="C221" s="10"/>
      <c r="D221" s="38"/>
      <c r="E221" s="38"/>
      <c r="F221" s="10"/>
      <c r="G221" s="10"/>
      <c r="H221" s="10"/>
      <c r="I221" s="10"/>
      <c r="J221" s="10"/>
      <c r="K221" s="38"/>
      <c r="L221" s="10"/>
      <c r="M221" s="38"/>
      <c r="N221" s="38"/>
      <c r="O221" s="38"/>
      <c r="P221" s="38"/>
      <c r="Q221" s="38"/>
      <c r="R221" s="38"/>
      <c r="S221" s="38"/>
      <c r="T221" s="38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8.0" customHeight="1">
      <c r="A222" s="40"/>
      <c r="B222" s="17"/>
      <c r="C222" s="17"/>
      <c r="D222" s="41"/>
      <c r="E222" s="41"/>
      <c r="F222" s="17"/>
      <c r="G222" s="17"/>
      <c r="H222" s="17"/>
      <c r="I222" s="17"/>
      <c r="J222" s="17"/>
      <c r="K222" s="41"/>
      <c r="L222" s="17"/>
      <c r="M222" s="41"/>
      <c r="N222" s="41"/>
      <c r="O222" s="41"/>
      <c r="P222" s="41"/>
      <c r="Q222" s="41"/>
      <c r="R222" s="41"/>
      <c r="S222" s="41"/>
      <c r="T222" s="41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ht="18.0" customHeight="1">
      <c r="A223" s="37"/>
      <c r="B223" s="10"/>
      <c r="C223" s="10"/>
      <c r="D223" s="38"/>
      <c r="E223" s="38"/>
      <c r="F223" s="10"/>
      <c r="G223" s="10"/>
      <c r="H223" s="10"/>
      <c r="I223" s="10"/>
      <c r="J223" s="10"/>
      <c r="K223" s="38"/>
      <c r="L223" s="10"/>
      <c r="M223" s="38"/>
      <c r="N223" s="38"/>
      <c r="O223" s="38"/>
      <c r="P223" s="38"/>
      <c r="Q223" s="38"/>
      <c r="R223" s="38"/>
      <c r="S223" s="38"/>
      <c r="T223" s="38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8.0" customHeight="1">
      <c r="A224" s="40"/>
      <c r="B224" s="17"/>
      <c r="C224" s="17"/>
      <c r="D224" s="41"/>
      <c r="E224" s="41"/>
      <c r="F224" s="17"/>
      <c r="G224" s="17"/>
      <c r="H224" s="17"/>
      <c r="I224" s="17"/>
      <c r="J224" s="17"/>
      <c r="K224" s="41"/>
      <c r="L224" s="17"/>
      <c r="M224" s="41"/>
      <c r="N224" s="41"/>
      <c r="O224" s="41"/>
      <c r="P224" s="41"/>
      <c r="Q224" s="41"/>
      <c r="R224" s="41"/>
      <c r="S224" s="41"/>
      <c r="T224" s="41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ht="18.0" customHeight="1">
      <c r="A225" s="37"/>
      <c r="B225" s="10"/>
      <c r="C225" s="10"/>
      <c r="D225" s="38"/>
      <c r="E225" s="38"/>
      <c r="F225" s="10"/>
      <c r="G225" s="10"/>
      <c r="H225" s="10"/>
      <c r="I225" s="10"/>
      <c r="J225" s="10"/>
      <c r="K225" s="38"/>
      <c r="L225" s="10"/>
      <c r="M225" s="38"/>
      <c r="N225" s="38"/>
      <c r="O225" s="38"/>
      <c r="P225" s="38"/>
      <c r="Q225" s="38"/>
      <c r="R225" s="38"/>
      <c r="S225" s="38"/>
      <c r="T225" s="38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8.0" customHeight="1">
      <c r="A226" s="40"/>
      <c r="B226" s="17"/>
      <c r="C226" s="17"/>
      <c r="D226" s="41"/>
      <c r="E226" s="41"/>
      <c r="F226" s="17"/>
      <c r="G226" s="17"/>
      <c r="H226" s="17"/>
      <c r="I226" s="17"/>
      <c r="J226" s="17"/>
      <c r="K226" s="41"/>
      <c r="L226" s="17"/>
      <c r="M226" s="41"/>
      <c r="N226" s="41"/>
      <c r="O226" s="41"/>
      <c r="P226" s="41"/>
      <c r="Q226" s="41"/>
      <c r="R226" s="41"/>
      <c r="S226" s="41"/>
      <c r="T226" s="41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ht="18.0" customHeight="1">
      <c r="A227" s="37"/>
      <c r="B227" s="10"/>
      <c r="C227" s="10"/>
      <c r="D227" s="38"/>
      <c r="E227" s="38"/>
      <c r="F227" s="10"/>
      <c r="G227" s="10"/>
      <c r="H227" s="10"/>
      <c r="I227" s="10"/>
      <c r="J227" s="10"/>
      <c r="K227" s="38"/>
      <c r="L227" s="10"/>
      <c r="M227" s="38"/>
      <c r="N227" s="38"/>
      <c r="O227" s="38"/>
      <c r="P227" s="38"/>
      <c r="Q227" s="38"/>
      <c r="R227" s="38"/>
      <c r="S227" s="38"/>
      <c r="T227" s="38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8.0" customHeight="1">
      <c r="A228" s="40"/>
      <c r="B228" s="17"/>
      <c r="C228" s="17"/>
      <c r="D228" s="41"/>
      <c r="E228" s="41"/>
      <c r="F228" s="17"/>
      <c r="G228" s="17"/>
      <c r="H228" s="17"/>
      <c r="I228" s="17"/>
      <c r="J228" s="17"/>
      <c r="K228" s="41"/>
      <c r="L228" s="17"/>
      <c r="M228" s="41"/>
      <c r="N228" s="41"/>
      <c r="O228" s="41"/>
      <c r="P228" s="41"/>
      <c r="Q228" s="41"/>
      <c r="R228" s="41"/>
      <c r="S228" s="41"/>
      <c r="T228" s="41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ht="18.0" customHeight="1">
      <c r="A229" s="37"/>
      <c r="B229" s="10"/>
      <c r="C229" s="10"/>
      <c r="D229" s="38"/>
      <c r="E229" s="38"/>
      <c r="F229" s="10"/>
      <c r="G229" s="10"/>
      <c r="H229" s="10"/>
      <c r="I229" s="10"/>
      <c r="J229" s="10"/>
      <c r="K229" s="38"/>
      <c r="L229" s="10"/>
      <c r="M229" s="38"/>
      <c r="N229" s="38"/>
      <c r="O229" s="38"/>
      <c r="P229" s="38"/>
      <c r="Q229" s="38"/>
      <c r="R229" s="38"/>
      <c r="S229" s="38"/>
      <c r="T229" s="38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8.0" customHeight="1">
      <c r="A230" s="40"/>
      <c r="B230" s="17"/>
      <c r="C230" s="17"/>
      <c r="D230" s="41"/>
      <c r="E230" s="41"/>
      <c r="F230" s="17"/>
      <c r="G230" s="17"/>
      <c r="H230" s="17"/>
      <c r="I230" s="17"/>
      <c r="J230" s="17"/>
      <c r="K230" s="41"/>
      <c r="L230" s="17"/>
      <c r="M230" s="41"/>
      <c r="N230" s="41"/>
      <c r="O230" s="41"/>
      <c r="P230" s="41"/>
      <c r="Q230" s="41"/>
      <c r="R230" s="41"/>
      <c r="S230" s="41"/>
      <c r="T230" s="41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ht="18.0" customHeight="1">
      <c r="A231" s="37"/>
      <c r="B231" s="10"/>
      <c r="C231" s="10"/>
      <c r="D231" s="38"/>
      <c r="E231" s="38"/>
      <c r="F231" s="10"/>
      <c r="G231" s="10"/>
      <c r="H231" s="10"/>
      <c r="I231" s="10"/>
      <c r="J231" s="10"/>
      <c r="K231" s="38"/>
      <c r="L231" s="10"/>
      <c r="M231" s="38"/>
      <c r="N231" s="38"/>
      <c r="O231" s="38"/>
      <c r="P231" s="38"/>
      <c r="Q231" s="38"/>
      <c r="R231" s="38"/>
      <c r="S231" s="38"/>
      <c r="T231" s="38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8.0" customHeight="1">
      <c r="A232" s="40"/>
      <c r="B232" s="17"/>
      <c r="C232" s="17"/>
      <c r="D232" s="41"/>
      <c r="E232" s="41"/>
      <c r="F232" s="17"/>
      <c r="G232" s="17"/>
      <c r="H232" s="17"/>
      <c r="I232" s="17"/>
      <c r="J232" s="17"/>
      <c r="K232" s="41"/>
      <c r="L232" s="17"/>
      <c r="M232" s="41"/>
      <c r="N232" s="41"/>
      <c r="O232" s="41"/>
      <c r="P232" s="41"/>
      <c r="Q232" s="41"/>
      <c r="R232" s="41"/>
      <c r="S232" s="41"/>
      <c r="T232" s="41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ht="18.0" customHeight="1">
      <c r="A233" s="37"/>
      <c r="B233" s="10"/>
      <c r="C233" s="10"/>
      <c r="D233" s="38"/>
      <c r="E233" s="38"/>
      <c r="F233" s="10"/>
      <c r="G233" s="10"/>
      <c r="H233" s="10"/>
      <c r="I233" s="10"/>
      <c r="J233" s="10"/>
      <c r="K233" s="38"/>
      <c r="L233" s="10"/>
      <c r="M233" s="38"/>
      <c r="N233" s="38"/>
      <c r="O233" s="38"/>
      <c r="P233" s="38"/>
      <c r="Q233" s="38"/>
      <c r="R233" s="38"/>
      <c r="S233" s="38"/>
      <c r="T233" s="38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8.0" customHeight="1">
      <c r="A234" s="40"/>
      <c r="B234" s="17"/>
      <c r="C234" s="17"/>
      <c r="D234" s="41"/>
      <c r="E234" s="41"/>
      <c r="F234" s="17"/>
      <c r="G234" s="17"/>
      <c r="H234" s="17"/>
      <c r="I234" s="17"/>
      <c r="J234" s="17"/>
      <c r="K234" s="41"/>
      <c r="L234" s="17"/>
      <c r="M234" s="41"/>
      <c r="N234" s="41"/>
      <c r="O234" s="41"/>
      <c r="P234" s="41"/>
      <c r="Q234" s="41"/>
      <c r="R234" s="41"/>
      <c r="S234" s="41"/>
      <c r="T234" s="41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ht="18.0" customHeight="1">
      <c r="A235" s="37"/>
      <c r="B235" s="10"/>
      <c r="C235" s="10"/>
      <c r="D235" s="38"/>
      <c r="E235" s="38"/>
      <c r="F235" s="10"/>
      <c r="G235" s="10"/>
      <c r="H235" s="10"/>
      <c r="I235" s="10"/>
      <c r="J235" s="10"/>
      <c r="K235" s="38"/>
      <c r="L235" s="10"/>
      <c r="M235" s="38"/>
      <c r="N235" s="38"/>
      <c r="O235" s="38"/>
      <c r="P235" s="38"/>
      <c r="Q235" s="38"/>
      <c r="R235" s="38"/>
      <c r="S235" s="38"/>
      <c r="T235" s="38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8.0" customHeight="1">
      <c r="A236" s="40"/>
      <c r="B236" s="17"/>
      <c r="C236" s="17"/>
      <c r="D236" s="41"/>
      <c r="E236" s="41"/>
      <c r="F236" s="17"/>
      <c r="G236" s="17"/>
      <c r="H236" s="17"/>
      <c r="I236" s="17"/>
      <c r="J236" s="17"/>
      <c r="K236" s="41"/>
      <c r="L236" s="17"/>
      <c r="M236" s="41"/>
      <c r="N236" s="41"/>
      <c r="O236" s="41"/>
      <c r="P236" s="41"/>
      <c r="Q236" s="41"/>
      <c r="R236" s="41"/>
      <c r="S236" s="41"/>
      <c r="T236" s="41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ht="18.0" customHeight="1">
      <c r="A237" s="37"/>
      <c r="B237" s="10"/>
      <c r="C237" s="10"/>
      <c r="D237" s="38"/>
      <c r="E237" s="38"/>
      <c r="F237" s="10"/>
      <c r="G237" s="10"/>
      <c r="H237" s="10"/>
      <c r="I237" s="10"/>
      <c r="J237" s="10"/>
      <c r="K237" s="38"/>
      <c r="L237" s="10"/>
      <c r="M237" s="38"/>
      <c r="N237" s="38"/>
      <c r="O237" s="38"/>
      <c r="P237" s="38"/>
      <c r="Q237" s="38"/>
      <c r="R237" s="38"/>
      <c r="S237" s="38"/>
      <c r="T237" s="38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8.0" customHeight="1">
      <c r="A238" s="40"/>
      <c r="B238" s="17"/>
      <c r="C238" s="17"/>
      <c r="D238" s="41"/>
      <c r="E238" s="41"/>
      <c r="F238" s="17"/>
      <c r="G238" s="17"/>
      <c r="H238" s="17"/>
      <c r="I238" s="17"/>
      <c r="J238" s="17"/>
      <c r="K238" s="41"/>
      <c r="L238" s="17"/>
      <c r="M238" s="41"/>
      <c r="N238" s="41"/>
      <c r="O238" s="41"/>
      <c r="P238" s="41"/>
      <c r="Q238" s="41"/>
      <c r="R238" s="41"/>
      <c r="S238" s="41"/>
      <c r="T238" s="41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ht="18.0" customHeight="1">
      <c r="A239" s="37"/>
      <c r="B239" s="10"/>
      <c r="C239" s="10"/>
      <c r="D239" s="38"/>
      <c r="E239" s="38"/>
      <c r="F239" s="10"/>
      <c r="G239" s="10"/>
      <c r="H239" s="10"/>
      <c r="I239" s="10"/>
      <c r="J239" s="10"/>
      <c r="K239" s="38"/>
      <c r="L239" s="10"/>
      <c r="M239" s="38"/>
      <c r="N239" s="38"/>
      <c r="O239" s="38"/>
      <c r="P239" s="38"/>
      <c r="Q239" s="38"/>
      <c r="R239" s="38"/>
      <c r="S239" s="38"/>
      <c r="T239" s="38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8.0" customHeight="1">
      <c r="A240" s="40"/>
      <c r="B240" s="17"/>
      <c r="C240" s="17"/>
      <c r="D240" s="41"/>
      <c r="E240" s="41"/>
      <c r="F240" s="17"/>
      <c r="G240" s="17"/>
      <c r="H240" s="17"/>
      <c r="I240" s="17"/>
      <c r="J240" s="17"/>
      <c r="K240" s="41"/>
      <c r="L240" s="17"/>
      <c r="M240" s="41"/>
      <c r="N240" s="41"/>
      <c r="O240" s="41"/>
      <c r="P240" s="41"/>
      <c r="Q240" s="41"/>
      <c r="R240" s="41"/>
      <c r="S240" s="41"/>
      <c r="T240" s="41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ht="18.0" customHeight="1">
      <c r="A241" s="37"/>
      <c r="B241" s="10"/>
      <c r="C241" s="10"/>
      <c r="D241" s="38"/>
      <c r="E241" s="38"/>
      <c r="F241" s="10"/>
      <c r="G241" s="10"/>
      <c r="H241" s="10"/>
      <c r="I241" s="10"/>
      <c r="J241" s="10"/>
      <c r="K241" s="38"/>
      <c r="L241" s="10"/>
      <c r="M241" s="38"/>
      <c r="N241" s="38"/>
      <c r="O241" s="38"/>
      <c r="P241" s="38"/>
      <c r="Q241" s="38"/>
      <c r="R241" s="38"/>
      <c r="S241" s="38"/>
      <c r="T241" s="38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8.0" customHeight="1">
      <c r="A242" s="40"/>
      <c r="B242" s="17"/>
      <c r="C242" s="17"/>
      <c r="D242" s="41"/>
      <c r="E242" s="41"/>
      <c r="F242" s="17"/>
      <c r="G242" s="17"/>
      <c r="H242" s="17"/>
      <c r="I242" s="17"/>
      <c r="J242" s="17"/>
      <c r="K242" s="41"/>
      <c r="L242" s="17"/>
      <c r="M242" s="41"/>
      <c r="N242" s="41"/>
      <c r="O242" s="41"/>
      <c r="P242" s="41"/>
      <c r="Q242" s="41"/>
      <c r="R242" s="41"/>
      <c r="S242" s="41"/>
      <c r="T242" s="41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ht="18.0" customHeight="1">
      <c r="A243" s="37"/>
      <c r="B243" s="10"/>
      <c r="C243" s="10"/>
      <c r="D243" s="38"/>
      <c r="E243" s="38"/>
      <c r="F243" s="10"/>
      <c r="G243" s="10"/>
      <c r="H243" s="10"/>
      <c r="I243" s="10"/>
      <c r="J243" s="10"/>
      <c r="K243" s="38"/>
      <c r="L243" s="10"/>
      <c r="M243" s="38"/>
      <c r="N243" s="38"/>
      <c r="O243" s="38"/>
      <c r="P243" s="38"/>
      <c r="Q243" s="38"/>
      <c r="R243" s="38"/>
      <c r="S243" s="38"/>
      <c r="T243" s="38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8.0" customHeight="1">
      <c r="A244" s="40"/>
      <c r="B244" s="17"/>
      <c r="C244" s="17"/>
      <c r="D244" s="41"/>
      <c r="E244" s="41"/>
      <c r="F244" s="17"/>
      <c r="G244" s="17"/>
      <c r="H244" s="17"/>
      <c r="I244" s="17"/>
      <c r="J244" s="17"/>
      <c r="K244" s="41"/>
      <c r="L244" s="17"/>
      <c r="M244" s="41"/>
      <c r="N244" s="41"/>
      <c r="O244" s="41"/>
      <c r="P244" s="41"/>
      <c r="Q244" s="41"/>
      <c r="R244" s="41"/>
      <c r="S244" s="41"/>
      <c r="T244" s="41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ht="18.0" customHeight="1">
      <c r="A245" s="37"/>
      <c r="B245" s="10"/>
      <c r="C245" s="10"/>
      <c r="D245" s="38"/>
      <c r="E245" s="38"/>
      <c r="F245" s="10"/>
      <c r="G245" s="10"/>
      <c r="H245" s="10"/>
      <c r="I245" s="10"/>
      <c r="J245" s="10"/>
      <c r="K245" s="38"/>
      <c r="L245" s="10"/>
      <c r="M245" s="38"/>
      <c r="N245" s="38"/>
      <c r="O245" s="38"/>
      <c r="P245" s="38"/>
      <c r="Q245" s="38"/>
      <c r="R245" s="38"/>
      <c r="S245" s="38"/>
      <c r="T245" s="38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8.0" customHeight="1">
      <c r="A246" s="40"/>
      <c r="B246" s="17"/>
      <c r="C246" s="17"/>
      <c r="D246" s="41"/>
      <c r="E246" s="41"/>
      <c r="F246" s="17"/>
      <c r="G246" s="17"/>
      <c r="H246" s="17"/>
      <c r="I246" s="17"/>
      <c r="J246" s="17"/>
      <c r="K246" s="41"/>
      <c r="L246" s="17"/>
      <c r="M246" s="41"/>
      <c r="N246" s="41"/>
      <c r="O246" s="41"/>
      <c r="P246" s="41"/>
      <c r="Q246" s="41"/>
      <c r="R246" s="41"/>
      <c r="S246" s="41"/>
      <c r="T246" s="41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ht="18.0" customHeight="1">
      <c r="A247" s="37"/>
      <c r="B247" s="10"/>
      <c r="C247" s="10"/>
      <c r="D247" s="38"/>
      <c r="E247" s="38"/>
      <c r="F247" s="10"/>
      <c r="G247" s="10"/>
      <c r="H247" s="10"/>
      <c r="I247" s="10"/>
      <c r="J247" s="10"/>
      <c r="K247" s="38"/>
      <c r="L247" s="10"/>
      <c r="M247" s="38"/>
      <c r="N247" s="38"/>
      <c r="O247" s="38"/>
      <c r="P247" s="38"/>
      <c r="Q247" s="38"/>
      <c r="R247" s="38"/>
      <c r="S247" s="38"/>
      <c r="T247" s="38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8.0" customHeight="1">
      <c r="A248" s="40"/>
      <c r="B248" s="17"/>
      <c r="C248" s="17"/>
      <c r="D248" s="41"/>
      <c r="E248" s="41"/>
      <c r="F248" s="17"/>
      <c r="G248" s="17"/>
      <c r="H248" s="17"/>
      <c r="I248" s="17"/>
      <c r="J248" s="17"/>
      <c r="K248" s="41"/>
      <c r="L248" s="17"/>
      <c r="M248" s="41"/>
      <c r="N248" s="41"/>
      <c r="O248" s="41"/>
      <c r="P248" s="41"/>
      <c r="Q248" s="41"/>
      <c r="R248" s="41"/>
      <c r="S248" s="41"/>
      <c r="T248" s="41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ht="18.0" customHeight="1">
      <c r="A249" s="37"/>
      <c r="B249" s="10"/>
      <c r="C249" s="10"/>
      <c r="D249" s="38"/>
      <c r="E249" s="38"/>
      <c r="F249" s="10"/>
      <c r="G249" s="10"/>
      <c r="H249" s="10"/>
      <c r="I249" s="10"/>
      <c r="J249" s="10"/>
      <c r="K249" s="38"/>
      <c r="L249" s="10"/>
      <c r="M249" s="38"/>
      <c r="N249" s="38"/>
      <c r="O249" s="38"/>
      <c r="P249" s="38"/>
      <c r="Q249" s="38"/>
      <c r="R249" s="38"/>
      <c r="S249" s="38"/>
      <c r="T249" s="38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8.0" customHeight="1">
      <c r="A250" s="40"/>
      <c r="B250" s="17"/>
      <c r="C250" s="17"/>
      <c r="D250" s="41"/>
      <c r="E250" s="41"/>
      <c r="F250" s="17"/>
      <c r="G250" s="17"/>
      <c r="H250" s="17"/>
      <c r="I250" s="17"/>
      <c r="J250" s="17"/>
      <c r="K250" s="41"/>
      <c r="L250" s="17"/>
      <c r="M250" s="41"/>
      <c r="N250" s="41"/>
      <c r="O250" s="41"/>
      <c r="P250" s="41"/>
      <c r="Q250" s="41"/>
      <c r="R250" s="41"/>
      <c r="S250" s="41"/>
      <c r="T250" s="41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ht="18.0" customHeight="1">
      <c r="A251" s="37"/>
      <c r="B251" s="10"/>
      <c r="C251" s="10"/>
      <c r="D251" s="38"/>
      <c r="E251" s="38"/>
      <c r="F251" s="10"/>
      <c r="G251" s="10"/>
      <c r="H251" s="10"/>
      <c r="I251" s="10"/>
      <c r="J251" s="10"/>
      <c r="K251" s="38"/>
      <c r="L251" s="10"/>
      <c r="M251" s="38"/>
      <c r="N251" s="38"/>
      <c r="O251" s="38"/>
      <c r="P251" s="38"/>
      <c r="Q251" s="38"/>
      <c r="R251" s="38"/>
      <c r="S251" s="38"/>
      <c r="T251" s="38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8.0" customHeight="1">
      <c r="A252" s="40"/>
      <c r="B252" s="17"/>
      <c r="C252" s="17"/>
      <c r="D252" s="41"/>
      <c r="E252" s="41"/>
      <c r="F252" s="17"/>
      <c r="G252" s="17"/>
      <c r="H252" s="17"/>
      <c r="I252" s="17"/>
      <c r="J252" s="17"/>
      <c r="K252" s="41"/>
      <c r="L252" s="17"/>
      <c r="M252" s="41"/>
      <c r="N252" s="41"/>
      <c r="O252" s="41"/>
      <c r="P252" s="41"/>
      <c r="Q252" s="41"/>
      <c r="R252" s="41"/>
      <c r="S252" s="41"/>
      <c r="T252" s="41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ht="18.0" customHeight="1">
      <c r="A253" s="37"/>
      <c r="B253" s="10"/>
      <c r="C253" s="10"/>
      <c r="D253" s="38"/>
      <c r="E253" s="38"/>
      <c r="F253" s="10"/>
      <c r="G253" s="10"/>
      <c r="H253" s="10"/>
      <c r="I253" s="10"/>
      <c r="J253" s="10"/>
      <c r="K253" s="38"/>
      <c r="L253" s="10"/>
      <c r="M253" s="38"/>
      <c r="N253" s="38"/>
      <c r="O253" s="38"/>
      <c r="P253" s="38"/>
      <c r="Q253" s="38"/>
      <c r="R253" s="38"/>
      <c r="S253" s="38"/>
      <c r="T253" s="38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8.0" customHeight="1">
      <c r="A254" s="40"/>
      <c r="B254" s="17"/>
      <c r="C254" s="17"/>
      <c r="D254" s="41"/>
      <c r="E254" s="41"/>
      <c r="F254" s="17"/>
      <c r="G254" s="17"/>
      <c r="H254" s="17"/>
      <c r="I254" s="17"/>
      <c r="J254" s="17"/>
      <c r="K254" s="41"/>
      <c r="L254" s="17"/>
      <c r="M254" s="41"/>
      <c r="N254" s="41"/>
      <c r="O254" s="41"/>
      <c r="P254" s="41"/>
      <c r="Q254" s="41"/>
      <c r="R254" s="41"/>
      <c r="S254" s="41"/>
      <c r="T254" s="41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ht="18.0" customHeight="1">
      <c r="A255" s="37"/>
      <c r="B255" s="10"/>
      <c r="C255" s="10"/>
      <c r="D255" s="38"/>
      <c r="E255" s="38"/>
      <c r="F255" s="10"/>
      <c r="G255" s="10"/>
      <c r="H255" s="10"/>
      <c r="I255" s="10"/>
      <c r="J255" s="10"/>
      <c r="K255" s="38"/>
      <c r="L255" s="10"/>
      <c r="M255" s="38"/>
      <c r="N255" s="38"/>
      <c r="O255" s="38"/>
      <c r="P255" s="38"/>
      <c r="Q255" s="38"/>
      <c r="R255" s="38"/>
      <c r="S255" s="38"/>
      <c r="T255" s="38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8.0" customHeight="1">
      <c r="A256" s="40"/>
      <c r="B256" s="17"/>
      <c r="C256" s="17"/>
      <c r="D256" s="41"/>
      <c r="E256" s="41"/>
      <c r="F256" s="17"/>
      <c r="G256" s="17"/>
      <c r="H256" s="17"/>
      <c r="I256" s="17"/>
      <c r="J256" s="17"/>
      <c r="K256" s="41"/>
      <c r="L256" s="17"/>
      <c r="M256" s="41"/>
      <c r="N256" s="41"/>
      <c r="O256" s="41"/>
      <c r="P256" s="41"/>
      <c r="Q256" s="41"/>
      <c r="R256" s="41"/>
      <c r="S256" s="41"/>
      <c r="T256" s="41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ht="18.0" customHeight="1">
      <c r="A257" s="37"/>
      <c r="B257" s="10"/>
      <c r="C257" s="10"/>
      <c r="D257" s="38"/>
      <c r="E257" s="38"/>
      <c r="F257" s="10"/>
      <c r="G257" s="10"/>
      <c r="H257" s="10"/>
      <c r="I257" s="10"/>
      <c r="J257" s="10"/>
      <c r="K257" s="38"/>
      <c r="L257" s="10"/>
      <c r="M257" s="38"/>
      <c r="N257" s="38"/>
      <c r="O257" s="38"/>
      <c r="P257" s="38"/>
      <c r="Q257" s="38"/>
      <c r="R257" s="38"/>
      <c r="S257" s="38"/>
      <c r="T257" s="38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8.0" customHeight="1">
      <c r="A258" s="40"/>
      <c r="B258" s="17"/>
      <c r="C258" s="17"/>
      <c r="D258" s="41"/>
      <c r="E258" s="41"/>
      <c r="F258" s="17"/>
      <c r="G258" s="17"/>
      <c r="H258" s="17"/>
      <c r="I258" s="17"/>
      <c r="J258" s="17"/>
      <c r="K258" s="41"/>
      <c r="L258" s="17"/>
      <c r="M258" s="41"/>
      <c r="N258" s="41"/>
      <c r="O258" s="41"/>
      <c r="P258" s="41"/>
      <c r="Q258" s="41"/>
      <c r="R258" s="41"/>
      <c r="S258" s="41"/>
      <c r="T258" s="41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ht="18.0" customHeight="1">
      <c r="A259" s="37"/>
      <c r="B259" s="10"/>
      <c r="C259" s="10"/>
      <c r="D259" s="38"/>
      <c r="E259" s="38"/>
      <c r="F259" s="10"/>
      <c r="G259" s="10"/>
      <c r="H259" s="10"/>
      <c r="I259" s="10"/>
      <c r="J259" s="10"/>
      <c r="K259" s="38"/>
      <c r="L259" s="10"/>
      <c r="M259" s="38"/>
      <c r="N259" s="38"/>
      <c r="O259" s="38"/>
      <c r="P259" s="38"/>
      <c r="Q259" s="38"/>
      <c r="R259" s="38"/>
      <c r="S259" s="38"/>
      <c r="T259" s="38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8.0" customHeight="1">
      <c r="A260" s="40"/>
      <c r="B260" s="17"/>
      <c r="C260" s="17"/>
      <c r="D260" s="41"/>
      <c r="E260" s="41"/>
      <c r="F260" s="17"/>
      <c r="G260" s="17"/>
      <c r="H260" s="17"/>
      <c r="I260" s="17"/>
      <c r="J260" s="17"/>
      <c r="K260" s="41"/>
      <c r="L260" s="17"/>
      <c r="M260" s="41"/>
      <c r="N260" s="41"/>
      <c r="O260" s="41"/>
      <c r="P260" s="41"/>
      <c r="Q260" s="41"/>
      <c r="R260" s="41"/>
      <c r="S260" s="41"/>
      <c r="T260" s="41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ht="18.0" customHeight="1">
      <c r="A261" s="37"/>
      <c r="B261" s="10"/>
      <c r="C261" s="10"/>
      <c r="D261" s="38"/>
      <c r="E261" s="38"/>
      <c r="F261" s="10"/>
      <c r="G261" s="10"/>
      <c r="H261" s="10"/>
      <c r="I261" s="10"/>
      <c r="J261" s="10"/>
      <c r="K261" s="38"/>
      <c r="L261" s="10"/>
      <c r="M261" s="38"/>
      <c r="N261" s="38"/>
      <c r="O261" s="38"/>
      <c r="P261" s="38"/>
      <c r="Q261" s="38"/>
      <c r="R261" s="38"/>
      <c r="S261" s="38"/>
      <c r="T261" s="38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8.0" customHeight="1">
      <c r="A262" s="40"/>
      <c r="B262" s="17"/>
      <c r="C262" s="17"/>
      <c r="D262" s="41"/>
      <c r="E262" s="41"/>
      <c r="F262" s="17"/>
      <c r="G262" s="17"/>
      <c r="H262" s="17"/>
      <c r="I262" s="17"/>
      <c r="J262" s="17"/>
      <c r="K262" s="41"/>
      <c r="L262" s="17"/>
      <c r="M262" s="41"/>
      <c r="N262" s="41"/>
      <c r="O262" s="41"/>
      <c r="P262" s="41"/>
      <c r="Q262" s="41"/>
      <c r="R262" s="41"/>
      <c r="S262" s="41"/>
      <c r="T262" s="41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ht="18.0" customHeight="1">
      <c r="A263" s="37"/>
      <c r="B263" s="10"/>
      <c r="C263" s="10"/>
      <c r="D263" s="38"/>
      <c r="E263" s="38"/>
      <c r="F263" s="10"/>
      <c r="G263" s="10"/>
      <c r="H263" s="10"/>
      <c r="I263" s="10"/>
      <c r="J263" s="10"/>
      <c r="K263" s="38"/>
      <c r="L263" s="10"/>
      <c r="M263" s="38"/>
      <c r="N263" s="38"/>
      <c r="O263" s="38"/>
      <c r="P263" s="38"/>
      <c r="Q263" s="38"/>
      <c r="R263" s="38"/>
      <c r="S263" s="38"/>
      <c r="T263" s="38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8.0" customHeight="1">
      <c r="A264" s="40"/>
      <c r="B264" s="17"/>
      <c r="C264" s="17"/>
      <c r="D264" s="41"/>
      <c r="E264" s="41"/>
      <c r="F264" s="17"/>
      <c r="G264" s="17"/>
      <c r="H264" s="17"/>
      <c r="I264" s="17"/>
      <c r="J264" s="17"/>
      <c r="K264" s="41"/>
      <c r="L264" s="17"/>
      <c r="M264" s="41"/>
      <c r="N264" s="41"/>
      <c r="O264" s="41"/>
      <c r="P264" s="41"/>
      <c r="Q264" s="41"/>
      <c r="R264" s="41"/>
      <c r="S264" s="41"/>
      <c r="T264" s="41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ht="18.0" customHeight="1">
      <c r="A265" s="37"/>
      <c r="B265" s="10"/>
      <c r="C265" s="10"/>
      <c r="D265" s="38"/>
      <c r="E265" s="38"/>
      <c r="F265" s="10"/>
      <c r="G265" s="10"/>
      <c r="H265" s="10"/>
      <c r="I265" s="10"/>
      <c r="J265" s="10"/>
      <c r="K265" s="38"/>
      <c r="L265" s="10"/>
      <c r="M265" s="38"/>
      <c r="N265" s="38"/>
      <c r="O265" s="38"/>
      <c r="P265" s="38"/>
      <c r="Q265" s="38"/>
      <c r="R265" s="38"/>
      <c r="S265" s="38"/>
      <c r="T265" s="38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8.0" customHeight="1">
      <c r="A266" s="40"/>
      <c r="B266" s="17"/>
      <c r="C266" s="17"/>
      <c r="D266" s="41"/>
      <c r="E266" s="41"/>
      <c r="F266" s="17"/>
      <c r="G266" s="17"/>
      <c r="H266" s="17"/>
      <c r="I266" s="17"/>
      <c r="J266" s="17"/>
      <c r="K266" s="41"/>
      <c r="L266" s="17"/>
      <c r="M266" s="41"/>
      <c r="N266" s="41"/>
      <c r="O266" s="41"/>
      <c r="P266" s="41"/>
      <c r="Q266" s="41"/>
      <c r="R266" s="41"/>
      <c r="S266" s="41"/>
      <c r="T266" s="41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ht="18.0" customHeight="1">
      <c r="A267" s="37"/>
      <c r="B267" s="10"/>
      <c r="C267" s="10"/>
      <c r="D267" s="38"/>
      <c r="E267" s="38"/>
      <c r="F267" s="10"/>
      <c r="G267" s="10"/>
      <c r="H267" s="10"/>
      <c r="I267" s="10"/>
      <c r="J267" s="10"/>
      <c r="K267" s="38"/>
      <c r="L267" s="10"/>
      <c r="M267" s="38"/>
      <c r="N267" s="38"/>
      <c r="O267" s="38"/>
      <c r="P267" s="38"/>
      <c r="Q267" s="38"/>
      <c r="R267" s="38"/>
      <c r="S267" s="38"/>
      <c r="T267" s="38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8.0" customHeight="1">
      <c r="A268" s="40"/>
      <c r="B268" s="17"/>
      <c r="C268" s="17"/>
      <c r="D268" s="41"/>
      <c r="E268" s="41"/>
      <c r="F268" s="17"/>
      <c r="G268" s="17"/>
      <c r="H268" s="17"/>
      <c r="I268" s="17"/>
      <c r="J268" s="17"/>
      <c r="K268" s="41"/>
      <c r="L268" s="17"/>
      <c r="M268" s="41"/>
      <c r="N268" s="41"/>
      <c r="O268" s="41"/>
      <c r="P268" s="41"/>
      <c r="Q268" s="41"/>
      <c r="R268" s="41"/>
      <c r="S268" s="41"/>
      <c r="T268" s="41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ht="18.0" customHeight="1">
      <c r="A269" s="37"/>
      <c r="B269" s="10"/>
      <c r="C269" s="10"/>
      <c r="D269" s="38"/>
      <c r="E269" s="38"/>
      <c r="F269" s="10"/>
      <c r="G269" s="10"/>
      <c r="H269" s="10"/>
      <c r="I269" s="10"/>
      <c r="J269" s="10"/>
      <c r="K269" s="38"/>
      <c r="L269" s="10"/>
      <c r="M269" s="38"/>
      <c r="N269" s="38"/>
      <c r="O269" s="38"/>
      <c r="P269" s="38"/>
      <c r="Q269" s="38"/>
      <c r="R269" s="38"/>
      <c r="S269" s="38"/>
      <c r="T269" s="38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8.0" customHeight="1">
      <c r="A270" s="40"/>
      <c r="B270" s="17"/>
      <c r="C270" s="17"/>
      <c r="D270" s="41"/>
      <c r="E270" s="41"/>
      <c r="F270" s="17"/>
      <c r="G270" s="17"/>
      <c r="H270" s="17"/>
      <c r="I270" s="17"/>
      <c r="J270" s="17"/>
      <c r="K270" s="41"/>
      <c r="L270" s="17"/>
      <c r="M270" s="41"/>
      <c r="N270" s="41"/>
      <c r="O270" s="41"/>
      <c r="P270" s="41"/>
      <c r="Q270" s="41"/>
      <c r="R270" s="41"/>
      <c r="S270" s="41"/>
      <c r="T270" s="41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ht="18.0" customHeight="1">
      <c r="A271" s="37"/>
      <c r="B271" s="10"/>
      <c r="C271" s="10"/>
      <c r="D271" s="38"/>
      <c r="E271" s="38"/>
      <c r="F271" s="10"/>
      <c r="G271" s="10"/>
      <c r="H271" s="10"/>
      <c r="I271" s="10"/>
      <c r="J271" s="10"/>
      <c r="K271" s="38"/>
      <c r="L271" s="10"/>
      <c r="M271" s="38"/>
      <c r="N271" s="38"/>
      <c r="O271" s="38"/>
      <c r="P271" s="38"/>
      <c r="Q271" s="38"/>
      <c r="R271" s="38"/>
      <c r="S271" s="38"/>
      <c r="T271" s="38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8.0" customHeight="1">
      <c r="A272" s="40"/>
      <c r="B272" s="17"/>
      <c r="C272" s="17"/>
      <c r="D272" s="41"/>
      <c r="E272" s="41"/>
      <c r="F272" s="17"/>
      <c r="G272" s="17"/>
      <c r="H272" s="17"/>
      <c r="I272" s="17"/>
      <c r="J272" s="17"/>
      <c r="K272" s="41"/>
      <c r="L272" s="17"/>
      <c r="M272" s="41"/>
      <c r="N272" s="41"/>
      <c r="O272" s="41"/>
      <c r="P272" s="41"/>
      <c r="Q272" s="41"/>
      <c r="R272" s="41"/>
      <c r="S272" s="41"/>
      <c r="T272" s="41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ht="18.0" customHeight="1">
      <c r="A273" s="37"/>
      <c r="B273" s="10"/>
      <c r="C273" s="10"/>
      <c r="D273" s="38"/>
      <c r="E273" s="38"/>
      <c r="F273" s="10"/>
      <c r="G273" s="10"/>
      <c r="H273" s="10"/>
      <c r="I273" s="10"/>
      <c r="J273" s="10"/>
      <c r="K273" s="38"/>
      <c r="L273" s="10"/>
      <c r="M273" s="38"/>
      <c r="N273" s="38"/>
      <c r="O273" s="38"/>
      <c r="P273" s="38"/>
      <c r="Q273" s="38"/>
      <c r="R273" s="38"/>
      <c r="S273" s="38"/>
      <c r="T273" s="38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8.0" customHeight="1">
      <c r="A274" s="40"/>
      <c r="B274" s="17"/>
      <c r="C274" s="17"/>
      <c r="D274" s="41"/>
      <c r="E274" s="41"/>
      <c r="F274" s="17"/>
      <c r="G274" s="17"/>
      <c r="H274" s="17"/>
      <c r="I274" s="17"/>
      <c r="J274" s="17"/>
      <c r="K274" s="41"/>
      <c r="L274" s="17"/>
      <c r="M274" s="41"/>
      <c r="N274" s="41"/>
      <c r="O274" s="41"/>
      <c r="P274" s="41"/>
      <c r="Q274" s="41"/>
      <c r="R274" s="41"/>
      <c r="S274" s="41"/>
      <c r="T274" s="41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ht="18.0" customHeight="1">
      <c r="A275" s="37"/>
      <c r="B275" s="10"/>
      <c r="C275" s="10"/>
      <c r="D275" s="38"/>
      <c r="E275" s="38"/>
      <c r="F275" s="10"/>
      <c r="G275" s="10"/>
      <c r="H275" s="10"/>
      <c r="I275" s="10"/>
      <c r="J275" s="10"/>
      <c r="K275" s="38"/>
      <c r="L275" s="10"/>
      <c r="M275" s="38"/>
      <c r="N275" s="38"/>
      <c r="O275" s="38"/>
      <c r="P275" s="38"/>
      <c r="Q275" s="38"/>
      <c r="R275" s="38"/>
      <c r="S275" s="38"/>
      <c r="T275" s="38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8.0" customHeight="1">
      <c r="A276" s="40"/>
      <c r="B276" s="17"/>
      <c r="C276" s="17"/>
      <c r="D276" s="41"/>
      <c r="E276" s="41"/>
      <c r="F276" s="17"/>
      <c r="G276" s="17"/>
      <c r="H276" s="17"/>
      <c r="I276" s="17"/>
      <c r="J276" s="17"/>
      <c r="K276" s="41"/>
      <c r="L276" s="17"/>
      <c r="M276" s="41"/>
      <c r="N276" s="41"/>
      <c r="O276" s="41"/>
      <c r="P276" s="41"/>
      <c r="Q276" s="41"/>
      <c r="R276" s="41"/>
      <c r="S276" s="41"/>
      <c r="T276" s="41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ht="18.0" customHeight="1">
      <c r="A277" s="37"/>
      <c r="B277" s="10"/>
      <c r="C277" s="10"/>
      <c r="D277" s="38"/>
      <c r="E277" s="38"/>
      <c r="F277" s="10"/>
      <c r="G277" s="10"/>
      <c r="H277" s="10"/>
      <c r="I277" s="10"/>
      <c r="J277" s="10"/>
      <c r="K277" s="38"/>
      <c r="L277" s="10"/>
      <c r="M277" s="38"/>
      <c r="N277" s="38"/>
      <c r="O277" s="38"/>
      <c r="P277" s="38"/>
      <c r="Q277" s="38"/>
      <c r="R277" s="38"/>
      <c r="S277" s="38"/>
      <c r="T277" s="38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8.0" customHeight="1">
      <c r="A278" s="40"/>
      <c r="B278" s="17"/>
      <c r="C278" s="17"/>
      <c r="D278" s="41"/>
      <c r="E278" s="41"/>
      <c r="F278" s="17"/>
      <c r="G278" s="17"/>
      <c r="H278" s="17"/>
      <c r="I278" s="17"/>
      <c r="J278" s="17"/>
      <c r="K278" s="41"/>
      <c r="L278" s="17"/>
      <c r="M278" s="41"/>
      <c r="N278" s="41"/>
      <c r="O278" s="41"/>
      <c r="P278" s="41"/>
      <c r="Q278" s="41"/>
      <c r="R278" s="41"/>
      <c r="S278" s="41"/>
      <c r="T278" s="41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ht="18.0" customHeight="1">
      <c r="A279" s="37"/>
      <c r="B279" s="10"/>
      <c r="C279" s="10"/>
      <c r="D279" s="38"/>
      <c r="E279" s="38"/>
      <c r="F279" s="10"/>
      <c r="G279" s="10"/>
      <c r="H279" s="10"/>
      <c r="I279" s="10"/>
      <c r="J279" s="10"/>
      <c r="K279" s="38"/>
      <c r="L279" s="10"/>
      <c r="M279" s="38"/>
      <c r="N279" s="38"/>
      <c r="O279" s="38"/>
      <c r="P279" s="38"/>
      <c r="Q279" s="38"/>
      <c r="R279" s="38"/>
      <c r="S279" s="38"/>
      <c r="T279" s="38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8.0" customHeight="1">
      <c r="A280" s="40"/>
      <c r="B280" s="17"/>
      <c r="C280" s="17"/>
      <c r="D280" s="41"/>
      <c r="E280" s="41"/>
      <c r="F280" s="17"/>
      <c r="G280" s="17"/>
      <c r="H280" s="17"/>
      <c r="I280" s="17"/>
      <c r="J280" s="17"/>
      <c r="K280" s="41"/>
      <c r="L280" s="17"/>
      <c r="M280" s="41"/>
      <c r="N280" s="41"/>
      <c r="O280" s="41"/>
      <c r="P280" s="41"/>
      <c r="Q280" s="41"/>
      <c r="R280" s="41"/>
      <c r="S280" s="41"/>
      <c r="T280" s="41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ht="18.0" customHeight="1">
      <c r="A281" s="37"/>
      <c r="B281" s="10"/>
      <c r="C281" s="10"/>
      <c r="D281" s="38"/>
      <c r="E281" s="38"/>
      <c r="F281" s="10"/>
      <c r="G281" s="10"/>
      <c r="H281" s="10"/>
      <c r="I281" s="10"/>
      <c r="J281" s="10"/>
      <c r="K281" s="38"/>
      <c r="L281" s="10"/>
      <c r="M281" s="38"/>
      <c r="N281" s="38"/>
      <c r="O281" s="38"/>
      <c r="P281" s="38"/>
      <c r="Q281" s="38"/>
      <c r="R281" s="38"/>
      <c r="S281" s="38"/>
      <c r="T281" s="38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8.0" customHeight="1">
      <c r="A282" s="40"/>
      <c r="B282" s="17"/>
      <c r="C282" s="17"/>
      <c r="D282" s="41"/>
      <c r="E282" s="41"/>
      <c r="F282" s="17"/>
      <c r="G282" s="17"/>
      <c r="H282" s="17"/>
      <c r="I282" s="17"/>
      <c r="J282" s="17"/>
      <c r="K282" s="41"/>
      <c r="L282" s="17"/>
      <c r="M282" s="41"/>
      <c r="N282" s="41"/>
      <c r="O282" s="41"/>
      <c r="P282" s="41"/>
      <c r="Q282" s="41"/>
      <c r="R282" s="41"/>
      <c r="S282" s="41"/>
      <c r="T282" s="41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ht="18.0" customHeight="1">
      <c r="A283" s="37"/>
      <c r="B283" s="10"/>
      <c r="C283" s="10"/>
      <c r="D283" s="38"/>
      <c r="E283" s="38"/>
      <c r="F283" s="10"/>
      <c r="G283" s="10"/>
      <c r="H283" s="10"/>
      <c r="I283" s="10"/>
      <c r="J283" s="10"/>
      <c r="K283" s="38"/>
      <c r="L283" s="10"/>
      <c r="M283" s="38"/>
      <c r="N283" s="38"/>
      <c r="O283" s="38"/>
      <c r="P283" s="38"/>
      <c r="Q283" s="38"/>
      <c r="R283" s="38"/>
      <c r="S283" s="38"/>
      <c r="T283" s="38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8.0" customHeight="1">
      <c r="A284" s="40"/>
      <c r="B284" s="17"/>
      <c r="C284" s="17"/>
      <c r="D284" s="41"/>
      <c r="E284" s="41"/>
      <c r="F284" s="17"/>
      <c r="G284" s="17"/>
      <c r="H284" s="17"/>
      <c r="I284" s="17"/>
      <c r="J284" s="17"/>
      <c r="K284" s="41"/>
      <c r="L284" s="17"/>
      <c r="M284" s="41"/>
      <c r="N284" s="41"/>
      <c r="O284" s="41"/>
      <c r="P284" s="41"/>
      <c r="Q284" s="41"/>
      <c r="R284" s="41"/>
      <c r="S284" s="41"/>
      <c r="T284" s="41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ht="18.0" customHeight="1">
      <c r="A285" s="37"/>
      <c r="B285" s="10"/>
      <c r="C285" s="10"/>
      <c r="D285" s="38"/>
      <c r="E285" s="38"/>
      <c r="F285" s="10"/>
      <c r="G285" s="10"/>
      <c r="H285" s="10"/>
      <c r="I285" s="10"/>
      <c r="J285" s="10"/>
      <c r="K285" s="38"/>
      <c r="L285" s="10"/>
      <c r="M285" s="38"/>
      <c r="N285" s="38"/>
      <c r="O285" s="38"/>
      <c r="P285" s="38"/>
      <c r="Q285" s="38"/>
      <c r="R285" s="38"/>
      <c r="S285" s="38"/>
      <c r="T285" s="38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8.0" customHeight="1">
      <c r="A286" s="40"/>
      <c r="B286" s="17"/>
      <c r="C286" s="17"/>
      <c r="D286" s="41"/>
      <c r="E286" s="41"/>
      <c r="F286" s="17"/>
      <c r="G286" s="17"/>
      <c r="H286" s="17"/>
      <c r="I286" s="17"/>
      <c r="J286" s="17"/>
      <c r="K286" s="41"/>
      <c r="L286" s="17"/>
      <c r="M286" s="41"/>
      <c r="N286" s="41"/>
      <c r="O286" s="41"/>
      <c r="P286" s="41"/>
      <c r="Q286" s="41"/>
      <c r="R286" s="41"/>
      <c r="S286" s="41"/>
      <c r="T286" s="41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ht="18.0" customHeight="1">
      <c r="A287" s="37"/>
      <c r="B287" s="10"/>
      <c r="C287" s="10"/>
      <c r="D287" s="38"/>
      <c r="E287" s="38"/>
      <c r="F287" s="10"/>
      <c r="G287" s="10"/>
      <c r="H287" s="10"/>
      <c r="I287" s="10"/>
      <c r="J287" s="10"/>
      <c r="K287" s="38"/>
      <c r="L287" s="10"/>
      <c r="M287" s="38"/>
      <c r="N287" s="38"/>
      <c r="O287" s="38"/>
      <c r="P287" s="38"/>
      <c r="Q287" s="38"/>
      <c r="R287" s="38"/>
      <c r="S287" s="38"/>
      <c r="T287" s="38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8.0" customHeight="1">
      <c r="A288" s="40"/>
      <c r="B288" s="17"/>
      <c r="C288" s="17"/>
      <c r="D288" s="41"/>
      <c r="E288" s="41"/>
      <c r="F288" s="17"/>
      <c r="G288" s="17"/>
      <c r="H288" s="17"/>
      <c r="I288" s="17"/>
      <c r="J288" s="17"/>
      <c r="K288" s="41"/>
      <c r="L288" s="17"/>
      <c r="M288" s="41"/>
      <c r="N288" s="41"/>
      <c r="O288" s="41"/>
      <c r="P288" s="41"/>
      <c r="Q288" s="41"/>
      <c r="R288" s="41"/>
      <c r="S288" s="41"/>
      <c r="T288" s="41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ht="18.0" customHeight="1">
      <c r="A289" s="37"/>
      <c r="B289" s="10"/>
      <c r="C289" s="10"/>
      <c r="D289" s="38"/>
      <c r="E289" s="38"/>
      <c r="F289" s="10"/>
      <c r="G289" s="10"/>
      <c r="H289" s="10"/>
      <c r="I289" s="10"/>
      <c r="J289" s="10"/>
      <c r="K289" s="38"/>
      <c r="L289" s="10"/>
      <c r="M289" s="38"/>
      <c r="N289" s="38"/>
      <c r="O289" s="38"/>
      <c r="P289" s="38"/>
      <c r="Q289" s="38"/>
      <c r="R289" s="38"/>
      <c r="S289" s="38"/>
      <c r="T289" s="38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8.0" customHeight="1">
      <c r="A290" s="40"/>
      <c r="B290" s="17"/>
      <c r="C290" s="17"/>
      <c r="D290" s="41"/>
      <c r="E290" s="41"/>
      <c r="F290" s="17"/>
      <c r="G290" s="17"/>
      <c r="H290" s="17"/>
      <c r="I290" s="17"/>
      <c r="J290" s="17"/>
      <c r="K290" s="41"/>
      <c r="L290" s="17"/>
      <c r="M290" s="41"/>
      <c r="N290" s="41"/>
      <c r="O290" s="41"/>
      <c r="P290" s="41"/>
      <c r="Q290" s="41"/>
      <c r="R290" s="41"/>
      <c r="S290" s="41"/>
      <c r="T290" s="41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ht="18.0" customHeight="1">
      <c r="A291" s="37"/>
      <c r="B291" s="10"/>
      <c r="C291" s="10"/>
      <c r="D291" s="38"/>
      <c r="E291" s="38"/>
      <c r="F291" s="10"/>
      <c r="G291" s="10"/>
      <c r="H291" s="10"/>
      <c r="I291" s="10"/>
      <c r="J291" s="10"/>
      <c r="K291" s="38"/>
      <c r="L291" s="10"/>
      <c r="M291" s="38"/>
      <c r="N291" s="38"/>
      <c r="O291" s="38"/>
      <c r="P291" s="38"/>
      <c r="Q291" s="38"/>
      <c r="R291" s="38"/>
      <c r="S291" s="38"/>
      <c r="T291" s="38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8.0" customHeight="1">
      <c r="A292" s="40"/>
      <c r="B292" s="17"/>
      <c r="C292" s="17"/>
      <c r="D292" s="41"/>
      <c r="E292" s="41"/>
      <c r="F292" s="17"/>
      <c r="G292" s="17"/>
      <c r="H292" s="17"/>
      <c r="I292" s="17"/>
      <c r="J292" s="17"/>
      <c r="K292" s="41"/>
      <c r="L292" s="17"/>
      <c r="M292" s="41"/>
      <c r="N292" s="41"/>
      <c r="O292" s="41"/>
      <c r="P292" s="41"/>
      <c r="Q292" s="41"/>
      <c r="R292" s="41"/>
      <c r="S292" s="41"/>
      <c r="T292" s="41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ht="18.0" customHeight="1">
      <c r="A293" s="37"/>
      <c r="B293" s="10"/>
      <c r="C293" s="10"/>
      <c r="D293" s="38"/>
      <c r="E293" s="38"/>
      <c r="F293" s="10"/>
      <c r="G293" s="10"/>
      <c r="H293" s="10"/>
      <c r="I293" s="10"/>
      <c r="J293" s="10"/>
      <c r="K293" s="38"/>
      <c r="L293" s="10"/>
      <c r="M293" s="38"/>
      <c r="N293" s="38"/>
      <c r="O293" s="38"/>
      <c r="P293" s="38"/>
      <c r="Q293" s="38"/>
      <c r="R293" s="38"/>
      <c r="S293" s="38"/>
      <c r="T293" s="38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8.0" customHeight="1">
      <c r="A294" s="40"/>
      <c r="B294" s="17"/>
      <c r="C294" s="17"/>
      <c r="D294" s="41"/>
      <c r="E294" s="41"/>
      <c r="F294" s="17"/>
      <c r="G294" s="17"/>
      <c r="H294" s="17"/>
      <c r="I294" s="17"/>
      <c r="J294" s="17"/>
      <c r="K294" s="41"/>
      <c r="L294" s="17"/>
      <c r="M294" s="41"/>
      <c r="N294" s="41"/>
      <c r="O294" s="41"/>
      <c r="P294" s="41"/>
      <c r="Q294" s="41"/>
      <c r="R294" s="41"/>
      <c r="S294" s="41"/>
      <c r="T294" s="41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ht="18.0" customHeight="1">
      <c r="A295" s="37"/>
      <c r="B295" s="10"/>
      <c r="C295" s="10"/>
      <c r="D295" s="38"/>
      <c r="E295" s="38"/>
      <c r="F295" s="10"/>
      <c r="G295" s="10"/>
      <c r="H295" s="10"/>
      <c r="I295" s="10"/>
      <c r="J295" s="10"/>
      <c r="K295" s="38"/>
      <c r="L295" s="10"/>
      <c r="M295" s="38"/>
      <c r="N295" s="38"/>
      <c r="O295" s="38"/>
      <c r="P295" s="38"/>
      <c r="Q295" s="38"/>
      <c r="R295" s="38"/>
      <c r="S295" s="38"/>
      <c r="T295" s="38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8.0" customHeight="1">
      <c r="A296" s="40"/>
      <c r="B296" s="17"/>
      <c r="C296" s="17"/>
      <c r="D296" s="41"/>
      <c r="E296" s="41"/>
      <c r="F296" s="17"/>
      <c r="G296" s="17"/>
      <c r="H296" s="17"/>
      <c r="I296" s="17"/>
      <c r="J296" s="17"/>
      <c r="K296" s="41"/>
      <c r="L296" s="17"/>
      <c r="M296" s="41"/>
      <c r="N296" s="41"/>
      <c r="O296" s="41"/>
      <c r="P296" s="41"/>
      <c r="Q296" s="41"/>
      <c r="R296" s="41"/>
      <c r="S296" s="41"/>
      <c r="T296" s="41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ht="18.0" customHeight="1">
      <c r="A297" s="37"/>
      <c r="B297" s="10"/>
      <c r="C297" s="10"/>
      <c r="D297" s="38"/>
      <c r="E297" s="38"/>
      <c r="F297" s="10"/>
      <c r="G297" s="10"/>
      <c r="H297" s="10"/>
      <c r="I297" s="10"/>
      <c r="J297" s="10"/>
      <c r="K297" s="38"/>
      <c r="L297" s="10"/>
      <c r="M297" s="38"/>
      <c r="N297" s="38"/>
      <c r="O297" s="38"/>
      <c r="P297" s="38"/>
      <c r="Q297" s="38"/>
      <c r="R297" s="38"/>
      <c r="S297" s="38"/>
      <c r="T297" s="38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8.0" customHeight="1">
      <c r="A298" s="40"/>
      <c r="B298" s="17"/>
      <c r="C298" s="17"/>
      <c r="D298" s="41"/>
      <c r="E298" s="41"/>
      <c r="F298" s="17"/>
      <c r="G298" s="17"/>
      <c r="H298" s="17"/>
      <c r="I298" s="17"/>
      <c r="J298" s="17"/>
      <c r="K298" s="41"/>
      <c r="L298" s="17"/>
      <c r="M298" s="41"/>
      <c r="N298" s="41"/>
      <c r="O298" s="41"/>
      <c r="P298" s="41"/>
      <c r="Q298" s="41"/>
      <c r="R298" s="41"/>
      <c r="S298" s="41"/>
      <c r="T298" s="41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ht="18.0" customHeight="1">
      <c r="A299" s="37"/>
      <c r="B299" s="10"/>
      <c r="C299" s="10"/>
      <c r="D299" s="38"/>
      <c r="E299" s="38"/>
      <c r="F299" s="10"/>
      <c r="G299" s="10"/>
      <c r="H299" s="10"/>
      <c r="I299" s="10"/>
      <c r="J299" s="10"/>
      <c r="K299" s="38"/>
      <c r="L299" s="10"/>
      <c r="M299" s="38"/>
      <c r="N299" s="38"/>
      <c r="O299" s="38"/>
      <c r="P299" s="38"/>
      <c r="Q299" s="38"/>
      <c r="R299" s="38"/>
      <c r="S299" s="38"/>
      <c r="T299" s="38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8.0" customHeight="1">
      <c r="A300" s="40"/>
      <c r="B300" s="17"/>
      <c r="C300" s="17"/>
      <c r="D300" s="41"/>
      <c r="E300" s="41"/>
      <c r="F300" s="17"/>
      <c r="G300" s="17"/>
      <c r="H300" s="17"/>
      <c r="I300" s="17"/>
      <c r="J300" s="17"/>
      <c r="K300" s="41"/>
      <c r="L300" s="17"/>
      <c r="M300" s="41"/>
      <c r="N300" s="41"/>
      <c r="O300" s="41"/>
      <c r="P300" s="41"/>
      <c r="Q300" s="41"/>
      <c r="R300" s="41"/>
      <c r="S300" s="41"/>
      <c r="T300" s="41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ht="18.0" customHeight="1">
      <c r="A301" s="37"/>
      <c r="B301" s="10"/>
      <c r="C301" s="10"/>
      <c r="D301" s="38"/>
      <c r="E301" s="38"/>
      <c r="F301" s="10"/>
      <c r="G301" s="10"/>
      <c r="H301" s="10"/>
      <c r="I301" s="10"/>
      <c r="J301" s="10"/>
      <c r="K301" s="38"/>
      <c r="L301" s="10"/>
      <c r="M301" s="38"/>
      <c r="N301" s="38"/>
      <c r="O301" s="38"/>
      <c r="P301" s="38"/>
      <c r="Q301" s="38"/>
      <c r="R301" s="38"/>
      <c r="S301" s="38"/>
      <c r="T301" s="38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8.0" customHeight="1">
      <c r="A302" s="40"/>
      <c r="B302" s="17"/>
      <c r="C302" s="17"/>
      <c r="D302" s="41"/>
      <c r="E302" s="41"/>
      <c r="F302" s="17"/>
      <c r="G302" s="17"/>
      <c r="H302" s="17"/>
      <c r="I302" s="17"/>
      <c r="J302" s="17"/>
      <c r="K302" s="41"/>
      <c r="L302" s="17"/>
      <c r="M302" s="41"/>
      <c r="N302" s="41"/>
      <c r="O302" s="41"/>
      <c r="P302" s="41"/>
      <c r="Q302" s="41"/>
      <c r="R302" s="41"/>
      <c r="S302" s="41"/>
      <c r="T302" s="41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ht="18.0" customHeight="1">
      <c r="A303" s="37"/>
      <c r="B303" s="10"/>
      <c r="C303" s="10"/>
      <c r="D303" s="38"/>
      <c r="E303" s="38"/>
      <c r="F303" s="10"/>
      <c r="G303" s="10"/>
      <c r="H303" s="10"/>
      <c r="I303" s="10"/>
      <c r="J303" s="10"/>
      <c r="K303" s="38"/>
      <c r="L303" s="10"/>
      <c r="M303" s="38"/>
      <c r="N303" s="38"/>
      <c r="O303" s="38"/>
      <c r="P303" s="38"/>
      <c r="Q303" s="38"/>
      <c r="R303" s="38"/>
      <c r="S303" s="38"/>
      <c r="T303" s="38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8.0" customHeight="1">
      <c r="A304" s="40"/>
      <c r="B304" s="17"/>
      <c r="C304" s="17"/>
      <c r="D304" s="41"/>
      <c r="E304" s="41"/>
      <c r="F304" s="17"/>
      <c r="G304" s="17"/>
      <c r="H304" s="17"/>
      <c r="I304" s="17"/>
      <c r="J304" s="17"/>
      <c r="K304" s="41"/>
      <c r="L304" s="17"/>
      <c r="M304" s="41"/>
      <c r="N304" s="41"/>
      <c r="O304" s="41"/>
      <c r="P304" s="41"/>
      <c r="Q304" s="41"/>
      <c r="R304" s="41"/>
      <c r="S304" s="41"/>
      <c r="T304" s="41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ht="18.0" customHeight="1">
      <c r="A305" s="37"/>
      <c r="B305" s="10"/>
      <c r="C305" s="10"/>
      <c r="D305" s="38"/>
      <c r="E305" s="38"/>
      <c r="F305" s="10"/>
      <c r="G305" s="10"/>
      <c r="H305" s="10"/>
      <c r="I305" s="10"/>
      <c r="J305" s="10"/>
      <c r="K305" s="38"/>
      <c r="L305" s="10"/>
      <c r="M305" s="38"/>
      <c r="N305" s="38"/>
      <c r="O305" s="38"/>
      <c r="P305" s="38"/>
      <c r="Q305" s="38"/>
      <c r="R305" s="38"/>
      <c r="S305" s="38"/>
      <c r="T305" s="38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8.0" customHeight="1">
      <c r="A306" s="40"/>
      <c r="B306" s="17"/>
      <c r="C306" s="17"/>
      <c r="D306" s="41"/>
      <c r="E306" s="41"/>
      <c r="F306" s="17"/>
      <c r="G306" s="17"/>
      <c r="H306" s="17"/>
      <c r="I306" s="17"/>
      <c r="J306" s="17"/>
      <c r="K306" s="41"/>
      <c r="L306" s="17"/>
      <c r="M306" s="41"/>
      <c r="N306" s="41"/>
      <c r="O306" s="41"/>
      <c r="P306" s="41"/>
      <c r="Q306" s="41"/>
      <c r="R306" s="41"/>
      <c r="S306" s="41"/>
      <c r="T306" s="41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ht="18.0" customHeight="1">
      <c r="A307" s="37"/>
      <c r="B307" s="10"/>
      <c r="C307" s="10"/>
      <c r="D307" s="38"/>
      <c r="E307" s="38"/>
      <c r="F307" s="10"/>
      <c r="G307" s="10"/>
      <c r="H307" s="10"/>
      <c r="I307" s="10"/>
      <c r="J307" s="10"/>
      <c r="K307" s="38"/>
      <c r="L307" s="10"/>
      <c r="M307" s="38"/>
      <c r="N307" s="38"/>
      <c r="O307" s="38"/>
      <c r="P307" s="38"/>
      <c r="Q307" s="38"/>
      <c r="R307" s="38"/>
      <c r="S307" s="38"/>
      <c r="T307" s="38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8.0" customHeight="1">
      <c r="A308" s="40"/>
      <c r="B308" s="17"/>
      <c r="C308" s="17"/>
      <c r="D308" s="41"/>
      <c r="E308" s="41"/>
      <c r="F308" s="17"/>
      <c r="G308" s="17"/>
      <c r="H308" s="17"/>
      <c r="I308" s="17"/>
      <c r="J308" s="17"/>
      <c r="K308" s="41"/>
      <c r="L308" s="17"/>
      <c r="M308" s="41"/>
      <c r="N308" s="41"/>
      <c r="O308" s="41"/>
      <c r="P308" s="41"/>
      <c r="Q308" s="41"/>
      <c r="R308" s="41"/>
      <c r="S308" s="41"/>
      <c r="T308" s="41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ht="18.0" customHeight="1">
      <c r="A309" s="37"/>
      <c r="B309" s="10"/>
      <c r="C309" s="10"/>
      <c r="D309" s="38"/>
      <c r="E309" s="38"/>
      <c r="F309" s="10"/>
      <c r="G309" s="10"/>
      <c r="H309" s="10"/>
      <c r="I309" s="10"/>
      <c r="J309" s="10"/>
      <c r="K309" s="38"/>
      <c r="L309" s="10"/>
      <c r="M309" s="38"/>
      <c r="N309" s="38"/>
      <c r="O309" s="38"/>
      <c r="P309" s="38"/>
      <c r="Q309" s="38"/>
      <c r="R309" s="38"/>
      <c r="S309" s="38"/>
      <c r="T309" s="38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8.0" customHeight="1">
      <c r="A310" s="40"/>
      <c r="B310" s="17"/>
      <c r="C310" s="17"/>
      <c r="D310" s="41"/>
      <c r="E310" s="41"/>
      <c r="F310" s="17"/>
      <c r="G310" s="17"/>
      <c r="H310" s="17"/>
      <c r="I310" s="17"/>
      <c r="J310" s="17"/>
      <c r="K310" s="41"/>
      <c r="L310" s="17"/>
      <c r="M310" s="41"/>
      <c r="N310" s="41"/>
      <c r="O310" s="41"/>
      <c r="P310" s="41"/>
      <c r="Q310" s="41"/>
      <c r="R310" s="41"/>
      <c r="S310" s="41"/>
      <c r="T310" s="41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ht="18.0" customHeight="1">
      <c r="A311" s="37"/>
      <c r="B311" s="10"/>
      <c r="C311" s="10"/>
      <c r="D311" s="38"/>
      <c r="E311" s="38"/>
      <c r="F311" s="10"/>
      <c r="G311" s="10"/>
      <c r="H311" s="10"/>
      <c r="I311" s="10"/>
      <c r="J311" s="10"/>
      <c r="K311" s="38"/>
      <c r="L311" s="10"/>
      <c r="M311" s="38"/>
      <c r="N311" s="38"/>
      <c r="O311" s="38"/>
      <c r="P311" s="38"/>
      <c r="Q311" s="38"/>
      <c r="R311" s="38"/>
      <c r="S311" s="38"/>
      <c r="T311" s="38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8.0" customHeight="1">
      <c r="A312" s="40"/>
      <c r="B312" s="17"/>
      <c r="C312" s="17"/>
      <c r="D312" s="41"/>
      <c r="E312" s="41"/>
      <c r="F312" s="17"/>
      <c r="G312" s="17"/>
      <c r="H312" s="17"/>
      <c r="I312" s="17"/>
      <c r="J312" s="17"/>
      <c r="K312" s="41"/>
      <c r="L312" s="17"/>
      <c r="M312" s="41"/>
      <c r="N312" s="41"/>
      <c r="O312" s="41"/>
      <c r="P312" s="41"/>
      <c r="Q312" s="41"/>
      <c r="R312" s="41"/>
      <c r="S312" s="41"/>
      <c r="T312" s="41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ht="18.0" customHeight="1">
      <c r="A313" s="37"/>
      <c r="B313" s="10"/>
      <c r="C313" s="10"/>
      <c r="D313" s="38"/>
      <c r="E313" s="38"/>
      <c r="F313" s="10"/>
      <c r="G313" s="10"/>
      <c r="H313" s="10"/>
      <c r="I313" s="10"/>
      <c r="J313" s="10"/>
      <c r="K313" s="38"/>
      <c r="L313" s="10"/>
      <c r="M313" s="38"/>
      <c r="N313" s="38"/>
      <c r="O313" s="38"/>
      <c r="P313" s="38"/>
      <c r="Q313" s="38"/>
      <c r="R313" s="38"/>
      <c r="S313" s="38"/>
      <c r="T313" s="38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8.0" customHeight="1">
      <c r="A314" s="40"/>
      <c r="B314" s="17"/>
      <c r="C314" s="17"/>
      <c r="D314" s="41"/>
      <c r="E314" s="41"/>
      <c r="F314" s="17"/>
      <c r="G314" s="17"/>
      <c r="H314" s="17"/>
      <c r="I314" s="17"/>
      <c r="J314" s="17"/>
      <c r="K314" s="41"/>
      <c r="L314" s="17"/>
      <c r="M314" s="41"/>
      <c r="N314" s="41"/>
      <c r="O314" s="41"/>
      <c r="P314" s="41"/>
      <c r="Q314" s="41"/>
      <c r="R314" s="41"/>
      <c r="S314" s="41"/>
      <c r="T314" s="41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ht="18.0" customHeight="1">
      <c r="A315" s="37"/>
      <c r="B315" s="10"/>
      <c r="C315" s="10"/>
      <c r="D315" s="38"/>
      <c r="E315" s="38"/>
      <c r="F315" s="10"/>
      <c r="G315" s="10"/>
      <c r="H315" s="10"/>
      <c r="I315" s="10"/>
      <c r="J315" s="10"/>
      <c r="K315" s="38"/>
      <c r="L315" s="10"/>
      <c r="M315" s="38"/>
      <c r="N315" s="38"/>
      <c r="O315" s="38"/>
      <c r="P315" s="38"/>
      <c r="Q315" s="38"/>
      <c r="R315" s="38"/>
      <c r="S315" s="38"/>
      <c r="T315" s="38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8.0" customHeight="1">
      <c r="A316" s="40"/>
      <c r="B316" s="17"/>
      <c r="C316" s="17"/>
      <c r="D316" s="41"/>
      <c r="E316" s="41"/>
      <c r="F316" s="17"/>
      <c r="G316" s="17"/>
      <c r="H316" s="17"/>
      <c r="I316" s="17"/>
      <c r="J316" s="17"/>
      <c r="K316" s="41"/>
      <c r="L316" s="17"/>
      <c r="M316" s="41"/>
      <c r="N316" s="41"/>
      <c r="O316" s="41"/>
      <c r="P316" s="41"/>
      <c r="Q316" s="41"/>
      <c r="R316" s="41"/>
      <c r="S316" s="41"/>
      <c r="T316" s="41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ht="18.0" customHeight="1">
      <c r="A317" s="37"/>
      <c r="B317" s="10"/>
      <c r="C317" s="10"/>
      <c r="D317" s="38"/>
      <c r="E317" s="38"/>
      <c r="F317" s="10"/>
      <c r="G317" s="10"/>
      <c r="H317" s="10"/>
      <c r="I317" s="10"/>
      <c r="J317" s="10"/>
      <c r="K317" s="38"/>
      <c r="L317" s="10"/>
      <c r="M317" s="38"/>
      <c r="N317" s="38"/>
      <c r="O317" s="38"/>
      <c r="P317" s="38"/>
      <c r="Q317" s="38"/>
      <c r="R317" s="38"/>
      <c r="S317" s="38"/>
      <c r="T317" s="38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8.0" customHeight="1">
      <c r="A318" s="40"/>
      <c r="B318" s="17"/>
      <c r="C318" s="17"/>
      <c r="D318" s="41"/>
      <c r="E318" s="41"/>
      <c r="F318" s="17"/>
      <c r="G318" s="17"/>
      <c r="H318" s="17"/>
      <c r="I318" s="17"/>
      <c r="J318" s="17"/>
      <c r="K318" s="41"/>
      <c r="L318" s="17"/>
      <c r="M318" s="41"/>
      <c r="N318" s="41"/>
      <c r="O318" s="41"/>
      <c r="P318" s="41"/>
      <c r="Q318" s="41"/>
      <c r="R318" s="41"/>
      <c r="S318" s="41"/>
      <c r="T318" s="41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ht="18.0" customHeight="1">
      <c r="A319" s="37"/>
      <c r="B319" s="10"/>
      <c r="C319" s="10"/>
      <c r="D319" s="38"/>
      <c r="E319" s="38"/>
      <c r="F319" s="10"/>
      <c r="G319" s="10"/>
      <c r="H319" s="10"/>
      <c r="I319" s="10"/>
      <c r="J319" s="10"/>
      <c r="K319" s="38"/>
      <c r="L319" s="10"/>
      <c r="M319" s="38"/>
      <c r="N319" s="38"/>
      <c r="O319" s="38"/>
      <c r="P319" s="38"/>
      <c r="Q319" s="38"/>
      <c r="R319" s="38"/>
      <c r="S319" s="38"/>
      <c r="T319" s="38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8.0" customHeight="1">
      <c r="A320" s="40"/>
      <c r="B320" s="17"/>
      <c r="C320" s="17"/>
      <c r="D320" s="41"/>
      <c r="E320" s="41"/>
      <c r="F320" s="17"/>
      <c r="G320" s="17"/>
      <c r="H320" s="17"/>
      <c r="I320" s="17"/>
      <c r="J320" s="17"/>
      <c r="K320" s="41"/>
      <c r="L320" s="17"/>
      <c r="M320" s="41"/>
      <c r="N320" s="41"/>
      <c r="O320" s="41"/>
      <c r="P320" s="41"/>
      <c r="Q320" s="41"/>
      <c r="R320" s="41"/>
      <c r="S320" s="41"/>
      <c r="T320" s="41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ht="18.0" customHeight="1">
      <c r="A321" s="37"/>
      <c r="B321" s="10"/>
      <c r="C321" s="10"/>
      <c r="D321" s="38"/>
      <c r="E321" s="38"/>
      <c r="F321" s="10"/>
      <c r="G321" s="10"/>
      <c r="H321" s="10"/>
      <c r="I321" s="10"/>
      <c r="J321" s="10"/>
      <c r="K321" s="38"/>
      <c r="L321" s="10"/>
      <c r="M321" s="38"/>
      <c r="N321" s="38"/>
      <c r="O321" s="38"/>
      <c r="P321" s="38"/>
      <c r="Q321" s="38"/>
      <c r="R321" s="38"/>
      <c r="S321" s="38"/>
      <c r="T321" s="38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8.0" customHeight="1">
      <c r="A322" s="40"/>
      <c r="B322" s="17"/>
      <c r="C322" s="17"/>
      <c r="D322" s="41"/>
      <c r="E322" s="41"/>
      <c r="F322" s="17"/>
      <c r="G322" s="17"/>
      <c r="H322" s="17"/>
      <c r="I322" s="17"/>
      <c r="J322" s="17"/>
      <c r="K322" s="41"/>
      <c r="L322" s="17"/>
      <c r="M322" s="41"/>
      <c r="N322" s="41"/>
      <c r="O322" s="41"/>
      <c r="P322" s="41"/>
      <c r="Q322" s="41"/>
      <c r="R322" s="41"/>
      <c r="S322" s="41"/>
      <c r="T322" s="41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ht="18.0" customHeight="1">
      <c r="A323" s="37"/>
      <c r="B323" s="10"/>
      <c r="C323" s="10"/>
      <c r="D323" s="38"/>
      <c r="E323" s="38"/>
      <c r="F323" s="10"/>
      <c r="G323" s="10"/>
      <c r="H323" s="10"/>
      <c r="I323" s="10"/>
      <c r="J323" s="10"/>
      <c r="K323" s="38"/>
      <c r="L323" s="10"/>
      <c r="M323" s="38"/>
      <c r="N323" s="38"/>
      <c r="O323" s="38"/>
      <c r="P323" s="38"/>
      <c r="Q323" s="38"/>
      <c r="R323" s="38"/>
      <c r="S323" s="38"/>
      <c r="T323" s="38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8.0" customHeight="1">
      <c r="A324" s="40"/>
      <c r="B324" s="17"/>
      <c r="C324" s="17"/>
      <c r="D324" s="41"/>
      <c r="E324" s="41"/>
      <c r="F324" s="17"/>
      <c r="G324" s="17"/>
      <c r="H324" s="17"/>
      <c r="I324" s="17"/>
      <c r="J324" s="17"/>
      <c r="K324" s="41"/>
      <c r="L324" s="17"/>
      <c r="M324" s="41"/>
      <c r="N324" s="41"/>
      <c r="O324" s="41"/>
      <c r="P324" s="41"/>
      <c r="Q324" s="41"/>
      <c r="R324" s="41"/>
      <c r="S324" s="41"/>
      <c r="T324" s="41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ht="18.0" customHeight="1">
      <c r="A325" s="37"/>
      <c r="B325" s="10"/>
      <c r="C325" s="10"/>
      <c r="D325" s="38"/>
      <c r="E325" s="38"/>
      <c r="F325" s="10"/>
      <c r="G325" s="10"/>
      <c r="H325" s="10"/>
      <c r="I325" s="10"/>
      <c r="J325" s="10"/>
      <c r="K325" s="38"/>
      <c r="L325" s="10"/>
      <c r="M325" s="38"/>
      <c r="N325" s="38"/>
      <c r="O325" s="38"/>
      <c r="P325" s="38"/>
      <c r="Q325" s="38"/>
      <c r="R325" s="38"/>
      <c r="S325" s="38"/>
      <c r="T325" s="38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8.0" customHeight="1">
      <c r="A326" s="40"/>
      <c r="B326" s="17"/>
      <c r="C326" s="17"/>
      <c r="D326" s="41"/>
      <c r="E326" s="41"/>
      <c r="F326" s="17"/>
      <c r="G326" s="17"/>
      <c r="H326" s="17"/>
      <c r="I326" s="17"/>
      <c r="J326" s="17"/>
      <c r="K326" s="41"/>
      <c r="L326" s="17"/>
      <c r="M326" s="41"/>
      <c r="N326" s="41"/>
      <c r="O326" s="41"/>
      <c r="P326" s="41"/>
      <c r="Q326" s="41"/>
      <c r="R326" s="41"/>
      <c r="S326" s="41"/>
      <c r="T326" s="41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ht="18.0" customHeight="1">
      <c r="A327" s="37"/>
      <c r="B327" s="10"/>
      <c r="C327" s="10"/>
      <c r="D327" s="38"/>
      <c r="E327" s="38"/>
      <c r="F327" s="10"/>
      <c r="G327" s="10"/>
      <c r="H327" s="10"/>
      <c r="I327" s="10"/>
      <c r="J327" s="10"/>
      <c r="K327" s="38"/>
      <c r="L327" s="10"/>
      <c r="M327" s="38"/>
      <c r="N327" s="38"/>
      <c r="O327" s="38"/>
      <c r="P327" s="38"/>
      <c r="Q327" s="38"/>
      <c r="R327" s="38"/>
      <c r="S327" s="38"/>
      <c r="T327" s="38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8.0" customHeight="1">
      <c r="A328" s="40"/>
      <c r="B328" s="17"/>
      <c r="C328" s="17"/>
      <c r="D328" s="41"/>
      <c r="E328" s="41"/>
      <c r="F328" s="17"/>
      <c r="G328" s="17"/>
      <c r="H328" s="17"/>
      <c r="I328" s="17"/>
      <c r="J328" s="17"/>
      <c r="K328" s="41"/>
      <c r="L328" s="17"/>
      <c r="M328" s="41"/>
      <c r="N328" s="41"/>
      <c r="O328" s="41"/>
      <c r="P328" s="41"/>
      <c r="Q328" s="41"/>
      <c r="R328" s="41"/>
      <c r="S328" s="41"/>
      <c r="T328" s="41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ht="18.0" customHeight="1">
      <c r="A329" s="37"/>
      <c r="B329" s="10"/>
      <c r="C329" s="10"/>
      <c r="D329" s="38"/>
      <c r="E329" s="38"/>
      <c r="F329" s="10"/>
      <c r="G329" s="10"/>
      <c r="H329" s="10"/>
      <c r="I329" s="10"/>
      <c r="J329" s="10"/>
      <c r="K329" s="38"/>
      <c r="L329" s="10"/>
      <c r="M329" s="38"/>
      <c r="N329" s="38"/>
      <c r="O329" s="38"/>
      <c r="P329" s="38"/>
      <c r="Q329" s="38"/>
      <c r="R329" s="38"/>
      <c r="S329" s="38"/>
      <c r="T329" s="38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8.0" customHeight="1">
      <c r="A330" s="40"/>
      <c r="B330" s="17"/>
      <c r="C330" s="17"/>
      <c r="D330" s="41"/>
      <c r="E330" s="41"/>
      <c r="F330" s="17"/>
      <c r="G330" s="17"/>
      <c r="H330" s="17"/>
      <c r="I330" s="17"/>
      <c r="J330" s="17"/>
      <c r="K330" s="41"/>
      <c r="L330" s="17"/>
      <c r="M330" s="41"/>
      <c r="N330" s="41"/>
      <c r="O330" s="41"/>
      <c r="P330" s="41"/>
      <c r="Q330" s="41"/>
      <c r="R330" s="41"/>
      <c r="S330" s="41"/>
      <c r="T330" s="41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ht="18.0" customHeight="1">
      <c r="A331" s="37"/>
      <c r="B331" s="10"/>
      <c r="C331" s="10"/>
      <c r="D331" s="38"/>
      <c r="E331" s="38"/>
      <c r="F331" s="10"/>
      <c r="G331" s="10"/>
      <c r="H331" s="10"/>
      <c r="I331" s="10"/>
      <c r="J331" s="10"/>
      <c r="K331" s="38"/>
      <c r="L331" s="10"/>
      <c r="M331" s="38"/>
      <c r="N331" s="38"/>
      <c r="O331" s="38"/>
      <c r="P331" s="38"/>
      <c r="Q331" s="38"/>
      <c r="R331" s="38"/>
      <c r="S331" s="38"/>
      <c r="T331" s="38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8.0" customHeight="1">
      <c r="A332" s="40"/>
      <c r="B332" s="17"/>
      <c r="C332" s="17"/>
      <c r="D332" s="41"/>
      <c r="E332" s="41"/>
      <c r="F332" s="17"/>
      <c r="G332" s="17"/>
      <c r="H332" s="17"/>
      <c r="I332" s="17"/>
      <c r="J332" s="17"/>
      <c r="K332" s="41"/>
      <c r="L332" s="17"/>
      <c r="M332" s="41"/>
      <c r="N332" s="41"/>
      <c r="O332" s="41"/>
      <c r="P332" s="41"/>
      <c r="Q332" s="41"/>
      <c r="R332" s="41"/>
      <c r="S332" s="41"/>
      <c r="T332" s="41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ht="18.0" customHeight="1">
      <c r="A333" s="37"/>
      <c r="B333" s="10"/>
      <c r="C333" s="10"/>
      <c r="D333" s="38"/>
      <c r="E333" s="38"/>
      <c r="F333" s="10"/>
      <c r="G333" s="10"/>
      <c r="H333" s="10"/>
      <c r="I333" s="10"/>
      <c r="J333" s="10"/>
      <c r="K333" s="38"/>
      <c r="L333" s="10"/>
      <c r="M333" s="38"/>
      <c r="N333" s="38"/>
      <c r="O333" s="38"/>
      <c r="P333" s="38"/>
      <c r="Q333" s="38"/>
      <c r="R333" s="38"/>
      <c r="S333" s="38"/>
      <c r="T333" s="38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8.0" customHeight="1">
      <c r="A334" s="40"/>
      <c r="B334" s="17"/>
      <c r="C334" s="17"/>
      <c r="D334" s="41"/>
      <c r="E334" s="41"/>
      <c r="F334" s="17"/>
      <c r="G334" s="17"/>
      <c r="H334" s="17"/>
      <c r="I334" s="17"/>
      <c r="J334" s="17"/>
      <c r="K334" s="41"/>
      <c r="L334" s="17"/>
      <c r="M334" s="41"/>
      <c r="N334" s="41"/>
      <c r="O334" s="41"/>
      <c r="P334" s="41"/>
      <c r="Q334" s="41"/>
      <c r="R334" s="41"/>
      <c r="S334" s="41"/>
      <c r="T334" s="41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ht="18.0" customHeight="1">
      <c r="A335" s="37"/>
      <c r="B335" s="10"/>
      <c r="C335" s="10"/>
      <c r="D335" s="38"/>
      <c r="E335" s="38"/>
      <c r="F335" s="10"/>
      <c r="G335" s="10"/>
      <c r="H335" s="10"/>
      <c r="I335" s="10"/>
      <c r="J335" s="10"/>
      <c r="K335" s="38"/>
      <c r="L335" s="10"/>
      <c r="M335" s="38"/>
      <c r="N335" s="38"/>
      <c r="O335" s="38"/>
      <c r="P335" s="38"/>
      <c r="Q335" s="38"/>
      <c r="R335" s="38"/>
      <c r="S335" s="38"/>
      <c r="T335" s="38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8.0" customHeight="1">
      <c r="A336" s="40"/>
      <c r="B336" s="17"/>
      <c r="C336" s="17"/>
      <c r="D336" s="41"/>
      <c r="E336" s="41"/>
      <c r="F336" s="17"/>
      <c r="G336" s="17"/>
      <c r="H336" s="17"/>
      <c r="I336" s="17"/>
      <c r="J336" s="17"/>
      <c r="K336" s="41"/>
      <c r="L336" s="17"/>
      <c r="M336" s="41"/>
      <c r="N336" s="41"/>
      <c r="O336" s="41"/>
      <c r="P336" s="41"/>
      <c r="Q336" s="41"/>
      <c r="R336" s="41"/>
      <c r="S336" s="41"/>
      <c r="T336" s="41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ht="18.0" customHeight="1">
      <c r="A337" s="37"/>
      <c r="B337" s="10"/>
      <c r="C337" s="10"/>
      <c r="D337" s="38"/>
      <c r="E337" s="38"/>
      <c r="F337" s="10"/>
      <c r="G337" s="10"/>
      <c r="H337" s="10"/>
      <c r="I337" s="10"/>
      <c r="J337" s="10"/>
      <c r="K337" s="38"/>
      <c r="L337" s="10"/>
      <c r="M337" s="38"/>
      <c r="N337" s="38"/>
      <c r="O337" s="38"/>
      <c r="P337" s="38"/>
      <c r="Q337" s="38"/>
      <c r="R337" s="38"/>
      <c r="S337" s="38"/>
      <c r="T337" s="38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8.0" customHeight="1">
      <c r="A338" s="40"/>
      <c r="B338" s="17"/>
      <c r="C338" s="17"/>
      <c r="D338" s="41"/>
      <c r="E338" s="41"/>
      <c r="F338" s="17"/>
      <c r="G338" s="17"/>
      <c r="H338" s="17"/>
      <c r="I338" s="17"/>
      <c r="J338" s="17"/>
      <c r="K338" s="41"/>
      <c r="L338" s="17"/>
      <c r="M338" s="41"/>
      <c r="N338" s="41"/>
      <c r="O338" s="41"/>
      <c r="P338" s="41"/>
      <c r="Q338" s="41"/>
      <c r="R338" s="41"/>
      <c r="S338" s="41"/>
      <c r="T338" s="41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ht="18.0" customHeight="1">
      <c r="A339" s="37"/>
      <c r="B339" s="10"/>
      <c r="C339" s="10"/>
      <c r="D339" s="38"/>
      <c r="E339" s="38"/>
      <c r="F339" s="10"/>
      <c r="G339" s="10"/>
      <c r="H339" s="10"/>
      <c r="I339" s="10"/>
      <c r="J339" s="10"/>
      <c r="K339" s="38"/>
      <c r="L339" s="10"/>
      <c r="M339" s="38"/>
      <c r="N339" s="38"/>
      <c r="O339" s="38"/>
      <c r="P339" s="38"/>
      <c r="Q339" s="38"/>
      <c r="R339" s="38"/>
      <c r="S339" s="38"/>
      <c r="T339" s="38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8.0" customHeight="1">
      <c r="A340" s="40"/>
      <c r="B340" s="17"/>
      <c r="C340" s="17"/>
      <c r="D340" s="41"/>
      <c r="E340" s="41"/>
      <c r="F340" s="17"/>
      <c r="G340" s="17"/>
      <c r="H340" s="17"/>
      <c r="I340" s="17"/>
      <c r="J340" s="17"/>
      <c r="K340" s="41"/>
      <c r="L340" s="17"/>
      <c r="M340" s="41"/>
      <c r="N340" s="41"/>
      <c r="O340" s="41"/>
      <c r="P340" s="41"/>
      <c r="Q340" s="41"/>
      <c r="R340" s="41"/>
      <c r="S340" s="41"/>
      <c r="T340" s="41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ht="18.0" customHeight="1">
      <c r="A341" s="37"/>
      <c r="B341" s="10"/>
      <c r="C341" s="10"/>
      <c r="D341" s="38"/>
      <c r="E341" s="38"/>
      <c r="F341" s="10"/>
      <c r="G341" s="10"/>
      <c r="H341" s="10"/>
      <c r="I341" s="10"/>
      <c r="J341" s="10"/>
      <c r="K341" s="38"/>
      <c r="L341" s="10"/>
      <c r="M341" s="38"/>
      <c r="N341" s="38"/>
      <c r="O341" s="38"/>
      <c r="P341" s="38"/>
      <c r="Q341" s="38"/>
      <c r="R341" s="38"/>
      <c r="S341" s="38"/>
      <c r="T341" s="38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8.0" customHeight="1">
      <c r="A342" s="40"/>
      <c r="B342" s="17"/>
      <c r="C342" s="17"/>
      <c r="D342" s="41"/>
      <c r="E342" s="41"/>
      <c r="F342" s="17"/>
      <c r="G342" s="17"/>
      <c r="H342" s="17"/>
      <c r="I342" s="17"/>
      <c r="J342" s="17"/>
      <c r="K342" s="41"/>
      <c r="L342" s="17"/>
      <c r="M342" s="41"/>
      <c r="N342" s="41"/>
      <c r="O342" s="41"/>
      <c r="P342" s="41"/>
      <c r="Q342" s="41"/>
      <c r="R342" s="41"/>
      <c r="S342" s="41"/>
      <c r="T342" s="41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ht="18.0" customHeight="1">
      <c r="A343" s="37"/>
      <c r="B343" s="10"/>
      <c r="C343" s="10"/>
      <c r="D343" s="38"/>
      <c r="E343" s="38"/>
      <c r="F343" s="10"/>
      <c r="G343" s="10"/>
      <c r="H343" s="10"/>
      <c r="I343" s="10"/>
      <c r="J343" s="10"/>
      <c r="K343" s="38"/>
      <c r="L343" s="10"/>
      <c r="M343" s="38"/>
      <c r="N343" s="38"/>
      <c r="O343" s="38"/>
      <c r="P343" s="38"/>
      <c r="Q343" s="38"/>
      <c r="R343" s="38"/>
      <c r="S343" s="38"/>
      <c r="T343" s="38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8.0" customHeight="1">
      <c r="A344" s="40"/>
      <c r="B344" s="17"/>
      <c r="C344" s="17"/>
      <c r="D344" s="41"/>
      <c r="E344" s="41"/>
      <c r="F344" s="17"/>
      <c r="G344" s="17"/>
      <c r="H344" s="17"/>
      <c r="I344" s="17"/>
      <c r="J344" s="17"/>
      <c r="K344" s="41"/>
      <c r="L344" s="17"/>
      <c r="M344" s="41"/>
      <c r="N344" s="41"/>
      <c r="O344" s="41"/>
      <c r="P344" s="41"/>
      <c r="Q344" s="41"/>
      <c r="R344" s="41"/>
      <c r="S344" s="41"/>
      <c r="T344" s="41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ht="18.0" customHeight="1">
      <c r="A345" s="37"/>
      <c r="B345" s="10"/>
      <c r="C345" s="10"/>
      <c r="D345" s="38"/>
      <c r="E345" s="38"/>
      <c r="F345" s="10"/>
      <c r="G345" s="10"/>
      <c r="H345" s="10"/>
      <c r="I345" s="10"/>
      <c r="J345" s="10"/>
      <c r="K345" s="38"/>
      <c r="L345" s="10"/>
      <c r="M345" s="38"/>
      <c r="N345" s="38"/>
      <c r="O345" s="38"/>
      <c r="P345" s="38"/>
      <c r="Q345" s="38"/>
      <c r="R345" s="38"/>
      <c r="S345" s="38"/>
      <c r="T345" s="38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8.0" customHeight="1">
      <c r="A346" s="40"/>
      <c r="B346" s="17"/>
      <c r="C346" s="17"/>
      <c r="D346" s="41"/>
      <c r="E346" s="41"/>
      <c r="F346" s="17"/>
      <c r="G346" s="17"/>
      <c r="H346" s="17"/>
      <c r="I346" s="17"/>
      <c r="J346" s="17"/>
      <c r="K346" s="41"/>
      <c r="L346" s="17"/>
      <c r="M346" s="41"/>
      <c r="N346" s="41"/>
      <c r="O346" s="41"/>
      <c r="P346" s="41"/>
      <c r="Q346" s="41"/>
      <c r="R346" s="41"/>
      <c r="S346" s="41"/>
      <c r="T346" s="41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ht="18.0" customHeight="1">
      <c r="A347" s="37"/>
      <c r="B347" s="10"/>
      <c r="C347" s="10"/>
      <c r="D347" s="38"/>
      <c r="E347" s="38"/>
      <c r="F347" s="10"/>
      <c r="G347" s="10"/>
      <c r="H347" s="10"/>
      <c r="I347" s="10"/>
      <c r="J347" s="10"/>
      <c r="K347" s="38"/>
      <c r="L347" s="10"/>
      <c r="M347" s="38"/>
      <c r="N347" s="38"/>
      <c r="O347" s="38"/>
      <c r="P347" s="38"/>
      <c r="Q347" s="38"/>
      <c r="R347" s="38"/>
      <c r="S347" s="38"/>
      <c r="T347" s="38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8.0" customHeight="1">
      <c r="A348" s="40"/>
      <c r="B348" s="17"/>
      <c r="C348" s="17"/>
      <c r="D348" s="41"/>
      <c r="E348" s="41"/>
      <c r="F348" s="17"/>
      <c r="G348" s="17"/>
      <c r="H348" s="17"/>
      <c r="I348" s="17"/>
      <c r="J348" s="17"/>
      <c r="K348" s="41"/>
      <c r="L348" s="17"/>
      <c r="M348" s="41"/>
      <c r="N348" s="41"/>
      <c r="O348" s="41"/>
      <c r="P348" s="41"/>
      <c r="Q348" s="41"/>
      <c r="R348" s="41"/>
      <c r="S348" s="41"/>
      <c r="T348" s="41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ht="18.0" customHeight="1">
      <c r="A349" s="37"/>
      <c r="B349" s="10"/>
      <c r="C349" s="10"/>
      <c r="D349" s="38"/>
      <c r="E349" s="38"/>
      <c r="F349" s="10"/>
      <c r="G349" s="10"/>
      <c r="H349" s="10"/>
      <c r="I349" s="10"/>
      <c r="J349" s="10"/>
      <c r="K349" s="38"/>
      <c r="L349" s="10"/>
      <c r="M349" s="38"/>
      <c r="N349" s="38"/>
      <c r="O349" s="38"/>
      <c r="P349" s="38"/>
      <c r="Q349" s="38"/>
      <c r="R349" s="38"/>
      <c r="S349" s="38"/>
      <c r="T349" s="38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8.0" customHeight="1">
      <c r="A350" s="40"/>
      <c r="B350" s="17"/>
      <c r="C350" s="17"/>
      <c r="D350" s="41"/>
      <c r="E350" s="41"/>
      <c r="F350" s="17"/>
      <c r="G350" s="17"/>
      <c r="H350" s="17"/>
      <c r="I350" s="17"/>
      <c r="J350" s="17"/>
      <c r="K350" s="41"/>
      <c r="L350" s="17"/>
      <c r="M350" s="41"/>
      <c r="N350" s="41"/>
      <c r="O350" s="41"/>
      <c r="P350" s="41"/>
      <c r="Q350" s="41"/>
      <c r="R350" s="41"/>
      <c r="S350" s="41"/>
      <c r="T350" s="41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ht="18.0" customHeight="1">
      <c r="A351" s="37"/>
      <c r="B351" s="10"/>
      <c r="C351" s="10"/>
      <c r="D351" s="38"/>
      <c r="E351" s="38"/>
      <c r="F351" s="10"/>
      <c r="G351" s="10"/>
      <c r="H351" s="10"/>
      <c r="I351" s="10"/>
      <c r="J351" s="10"/>
      <c r="K351" s="38"/>
      <c r="L351" s="10"/>
      <c r="M351" s="38"/>
      <c r="N351" s="38"/>
      <c r="O351" s="38"/>
      <c r="P351" s="38"/>
      <c r="Q351" s="38"/>
      <c r="R351" s="38"/>
      <c r="S351" s="38"/>
      <c r="T351" s="38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8.0" customHeight="1">
      <c r="A352" s="40"/>
      <c r="B352" s="17"/>
      <c r="C352" s="17"/>
      <c r="D352" s="41"/>
      <c r="E352" s="41"/>
      <c r="F352" s="17"/>
      <c r="G352" s="17"/>
      <c r="H352" s="17"/>
      <c r="I352" s="17"/>
      <c r="J352" s="17"/>
      <c r="K352" s="41"/>
      <c r="L352" s="17"/>
      <c r="M352" s="41"/>
      <c r="N352" s="41"/>
      <c r="O352" s="41"/>
      <c r="P352" s="41"/>
      <c r="Q352" s="41"/>
      <c r="R352" s="41"/>
      <c r="S352" s="41"/>
      <c r="T352" s="41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ht="18.0" customHeight="1">
      <c r="A353" s="37"/>
      <c r="B353" s="10"/>
      <c r="C353" s="10"/>
      <c r="D353" s="38"/>
      <c r="E353" s="38"/>
      <c r="F353" s="10"/>
      <c r="G353" s="10"/>
      <c r="H353" s="10"/>
      <c r="I353" s="10"/>
      <c r="J353" s="10"/>
      <c r="K353" s="38"/>
      <c r="L353" s="10"/>
      <c r="M353" s="38"/>
      <c r="N353" s="38"/>
      <c r="O353" s="38"/>
      <c r="P353" s="38"/>
      <c r="Q353" s="38"/>
      <c r="R353" s="38"/>
      <c r="S353" s="38"/>
      <c r="T353" s="38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8.0" customHeight="1">
      <c r="A354" s="40"/>
      <c r="B354" s="17"/>
      <c r="C354" s="17"/>
      <c r="D354" s="41"/>
      <c r="E354" s="41"/>
      <c r="F354" s="17"/>
      <c r="G354" s="17"/>
      <c r="H354" s="17"/>
      <c r="I354" s="17"/>
      <c r="J354" s="17"/>
      <c r="K354" s="41"/>
      <c r="L354" s="17"/>
      <c r="M354" s="41"/>
      <c r="N354" s="41"/>
      <c r="O354" s="41"/>
      <c r="P354" s="41"/>
      <c r="Q354" s="41"/>
      <c r="R354" s="41"/>
      <c r="S354" s="41"/>
      <c r="T354" s="41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ht="18.0" customHeight="1">
      <c r="A355" s="37"/>
      <c r="B355" s="10"/>
      <c r="C355" s="10"/>
      <c r="D355" s="38"/>
      <c r="E355" s="38"/>
      <c r="F355" s="10"/>
      <c r="G355" s="10"/>
      <c r="H355" s="10"/>
      <c r="I355" s="10"/>
      <c r="J355" s="10"/>
      <c r="K355" s="38"/>
      <c r="L355" s="10"/>
      <c r="M355" s="38"/>
      <c r="N355" s="38"/>
      <c r="O355" s="38"/>
      <c r="P355" s="38"/>
      <c r="Q355" s="38"/>
      <c r="R355" s="38"/>
      <c r="S355" s="38"/>
      <c r="T355" s="38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8.0" customHeight="1">
      <c r="A356" s="40"/>
      <c r="B356" s="17"/>
      <c r="C356" s="17"/>
      <c r="D356" s="41"/>
      <c r="E356" s="41"/>
      <c r="F356" s="17"/>
      <c r="G356" s="17"/>
      <c r="H356" s="17"/>
      <c r="I356" s="17"/>
      <c r="J356" s="17"/>
      <c r="K356" s="41"/>
      <c r="L356" s="17"/>
      <c r="M356" s="41"/>
      <c r="N356" s="41"/>
      <c r="O356" s="41"/>
      <c r="P356" s="41"/>
      <c r="Q356" s="41"/>
      <c r="R356" s="41"/>
      <c r="S356" s="41"/>
      <c r="T356" s="41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ht="18.0" customHeight="1">
      <c r="A357" s="37"/>
      <c r="B357" s="10"/>
      <c r="C357" s="10"/>
      <c r="D357" s="38"/>
      <c r="E357" s="38"/>
      <c r="F357" s="10"/>
      <c r="G357" s="10"/>
      <c r="H357" s="10"/>
      <c r="I357" s="10"/>
      <c r="J357" s="10"/>
      <c r="K357" s="38"/>
      <c r="L357" s="10"/>
      <c r="M357" s="38"/>
      <c r="N357" s="38"/>
      <c r="O357" s="38"/>
      <c r="P357" s="38"/>
      <c r="Q357" s="38"/>
      <c r="R357" s="38"/>
      <c r="S357" s="38"/>
      <c r="T357" s="38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8.0" customHeight="1">
      <c r="A358" s="40"/>
      <c r="B358" s="17"/>
      <c r="C358" s="17"/>
      <c r="D358" s="41"/>
      <c r="E358" s="41"/>
      <c r="F358" s="17"/>
      <c r="G358" s="17"/>
      <c r="H358" s="17"/>
      <c r="I358" s="17"/>
      <c r="J358" s="17"/>
      <c r="K358" s="41"/>
      <c r="L358" s="17"/>
      <c r="M358" s="41"/>
      <c r="N358" s="41"/>
      <c r="O358" s="41"/>
      <c r="P358" s="41"/>
      <c r="Q358" s="41"/>
      <c r="R358" s="41"/>
      <c r="S358" s="41"/>
      <c r="T358" s="41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ht="18.0" customHeight="1">
      <c r="A359" s="37"/>
      <c r="B359" s="10"/>
      <c r="C359" s="10"/>
      <c r="D359" s="38"/>
      <c r="E359" s="38"/>
      <c r="F359" s="10"/>
      <c r="G359" s="10"/>
      <c r="H359" s="10"/>
      <c r="I359" s="10"/>
      <c r="J359" s="10"/>
      <c r="K359" s="38"/>
      <c r="L359" s="10"/>
      <c r="M359" s="38"/>
      <c r="N359" s="38"/>
      <c r="O359" s="38"/>
      <c r="P359" s="38"/>
      <c r="Q359" s="38"/>
      <c r="R359" s="38"/>
      <c r="S359" s="38"/>
      <c r="T359" s="38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8.0" customHeight="1">
      <c r="A360" s="40"/>
      <c r="B360" s="17"/>
      <c r="C360" s="17"/>
      <c r="D360" s="41"/>
      <c r="E360" s="41"/>
      <c r="F360" s="17"/>
      <c r="G360" s="17"/>
      <c r="H360" s="17"/>
      <c r="I360" s="17"/>
      <c r="J360" s="17"/>
      <c r="K360" s="41"/>
      <c r="L360" s="17"/>
      <c r="M360" s="41"/>
      <c r="N360" s="41"/>
      <c r="O360" s="41"/>
      <c r="P360" s="41"/>
      <c r="Q360" s="41"/>
      <c r="R360" s="41"/>
      <c r="S360" s="41"/>
      <c r="T360" s="41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ht="18.0" customHeight="1">
      <c r="A361" s="37"/>
      <c r="B361" s="10"/>
      <c r="C361" s="10"/>
      <c r="D361" s="38"/>
      <c r="E361" s="38"/>
      <c r="F361" s="10"/>
      <c r="G361" s="10"/>
      <c r="H361" s="10"/>
      <c r="I361" s="10"/>
      <c r="J361" s="10"/>
      <c r="K361" s="38"/>
      <c r="L361" s="10"/>
      <c r="M361" s="38"/>
      <c r="N361" s="38"/>
      <c r="O361" s="38"/>
      <c r="P361" s="38"/>
      <c r="Q361" s="38"/>
      <c r="R361" s="38"/>
      <c r="S361" s="38"/>
      <c r="T361" s="38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8.0" customHeight="1">
      <c r="A362" s="40"/>
      <c r="B362" s="17"/>
      <c r="C362" s="17"/>
      <c r="D362" s="41"/>
      <c r="E362" s="41"/>
      <c r="F362" s="17"/>
      <c r="G362" s="17"/>
      <c r="H362" s="17"/>
      <c r="I362" s="17"/>
      <c r="J362" s="17"/>
      <c r="K362" s="41"/>
      <c r="L362" s="17"/>
      <c r="M362" s="41"/>
      <c r="N362" s="41"/>
      <c r="O362" s="41"/>
      <c r="P362" s="41"/>
      <c r="Q362" s="41"/>
      <c r="R362" s="41"/>
      <c r="S362" s="41"/>
      <c r="T362" s="41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ht="18.0" customHeight="1">
      <c r="A363" s="37"/>
      <c r="B363" s="10"/>
      <c r="C363" s="10"/>
      <c r="D363" s="38"/>
      <c r="E363" s="38"/>
      <c r="F363" s="10"/>
      <c r="G363" s="10"/>
      <c r="H363" s="10"/>
      <c r="I363" s="10"/>
      <c r="J363" s="10"/>
      <c r="K363" s="38"/>
      <c r="L363" s="10"/>
      <c r="M363" s="38"/>
      <c r="N363" s="38"/>
      <c r="O363" s="38"/>
      <c r="P363" s="38"/>
      <c r="Q363" s="38"/>
      <c r="R363" s="38"/>
      <c r="S363" s="38"/>
      <c r="T363" s="38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8.0" customHeight="1">
      <c r="A364" s="40"/>
      <c r="B364" s="17"/>
      <c r="C364" s="17"/>
      <c r="D364" s="41"/>
      <c r="E364" s="41"/>
      <c r="F364" s="17"/>
      <c r="G364" s="17"/>
      <c r="H364" s="17"/>
      <c r="I364" s="17"/>
      <c r="J364" s="17"/>
      <c r="K364" s="41"/>
      <c r="L364" s="17"/>
      <c r="M364" s="41"/>
      <c r="N364" s="41"/>
      <c r="O364" s="41"/>
      <c r="P364" s="41"/>
      <c r="Q364" s="41"/>
      <c r="R364" s="41"/>
      <c r="S364" s="41"/>
      <c r="T364" s="41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ht="18.0" customHeight="1">
      <c r="A365" s="37"/>
      <c r="B365" s="10"/>
      <c r="C365" s="10"/>
      <c r="D365" s="38"/>
      <c r="E365" s="38"/>
      <c r="F365" s="10"/>
      <c r="G365" s="10"/>
      <c r="H365" s="10"/>
      <c r="I365" s="10"/>
      <c r="J365" s="10"/>
      <c r="K365" s="38"/>
      <c r="L365" s="10"/>
      <c r="M365" s="38"/>
      <c r="N365" s="38"/>
      <c r="O365" s="38"/>
      <c r="P365" s="38"/>
      <c r="Q365" s="38"/>
      <c r="R365" s="38"/>
      <c r="S365" s="38"/>
      <c r="T365" s="38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8.0" customHeight="1">
      <c r="A366" s="40"/>
      <c r="B366" s="17"/>
      <c r="C366" s="17"/>
      <c r="D366" s="41"/>
      <c r="E366" s="41"/>
      <c r="F366" s="17"/>
      <c r="G366" s="17"/>
      <c r="H366" s="17"/>
      <c r="I366" s="17"/>
      <c r="J366" s="17"/>
      <c r="K366" s="41"/>
      <c r="L366" s="17"/>
      <c r="M366" s="41"/>
      <c r="N366" s="41"/>
      <c r="O366" s="41"/>
      <c r="P366" s="41"/>
      <c r="Q366" s="41"/>
      <c r="R366" s="41"/>
      <c r="S366" s="41"/>
      <c r="T366" s="41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ht="18.0" customHeight="1">
      <c r="A367" s="37"/>
      <c r="B367" s="10"/>
      <c r="C367" s="10"/>
      <c r="D367" s="38"/>
      <c r="E367" s="38"/>
      <c r="F367" s="10"/>
      <c r="G367" s="10"/>
      <c r="H367" s="10"/>
      <c r="I367" s="10"/>
      <c r="J367" s="10"/>
      <c r="K367" s="38"/>
      <c r="L367" s="10"/>
      <c r="M367" s="38"/>
      <c r="N367" s="38"/>
      <c r="O367" s="38"/>
      <c r="P367" s="38"/>
      <c r="Q367" s="38"/>
      <c r="R367" s="38"/>
      <c r="S367" s="38"/>
      <c r="T367" s="38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8.0" customHeight="1">
      <c r="A368" s="40"/>
      <c r="B368" s="17"/>
      <c r="C368" s="17"/>
      <c r="D368" s="41"/>
      <c r="E368" s="41"/>
      <c r="F368" s="17"/>
      <c r="G368" s="17"/>
      <c r="H368" s="17"/>
      <c r="I368" s="17"/>
      <c r="J368" s="17"/>
      <c r="K368" s="41"/>
      <c r="L368" s="17"/>
      <c r="M368" s="41"/>
      <c r="N368" s="41"/>
      <c r="O368" s="41"/>
      <c r="P368" s="41"/>
      <c r="Q368" s="41"/>
      <c r="R368" s="41"/>
      <c r="S368" s="41"/>
      <c r="T368" s="41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</row>
  </sheetData>
  <autoFilter ref="$A$2:$AN$368">
    <filterColumn colId="18">
      <filters blank="1">
        <filter val="Cargo"/>
        <filter val="Profesional de Toma de Muestras"/>
        <filter val="Coordinador de Recursos Humanos"/>
        <filter val="Encargado de Abastecimiento, Transporte y Logística"/>
        <filter val="Matrona"/>
        <filter val="Enfermera"/>
      </filters>
    </filterColumn>
  </autoFilter>
  <mergeCells count="1">
    <mergeCell ref="A1:AN1"/>
  </mergeCells>
  <hyperlinks>
    <hyperlink r:id="rId2" ref="L28"/>
    <hyperlink r:id="rId3" ref="L37"/>
    <hyperlink r:id="rId4" ref="L62"/>
    <hyperlink r:id="rId5" ref="L83"/>
    <hyperlink r:id="rId6" ref="L94"/>
    <hyperlink r:id="rId7" ref="L96"/>
    <hyperlink r:id="rId8" ref="L120"/>
    <hyperlink r:id="rId9" ref="L122"/>
    <hyperlink r:id="rId10" ref="L127"/>
    <hyperlink r:id="rId11" ref="L139"/>
  </hyperlinks>
  <printOptions/>
  <pageMargins bottom="0.75" footer="0.0" header="0.0" left="0.25" right="0.25" top="0.75"/>
  <pageSetup fitToHeight="0" orientation="landscape"/>
  <headerFooter>
    <oddFooter>&amp;RListado Laboratorio por Empresa &amp;D</oddFooter>
  </headerFooter>
  <drawing r:id="rId12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54A"/>
    <pageSetUpPr fitToPage="1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5.0"/>
    <col customWidth="1" min="2" max="2" width="32.0"/>
    <col customWidth="1" min="3" max="3" width="14.0"/>
    <col customWidth="1" min="4" max="5" width="12.0"/>
    <col customWidth="1" min="6" max="6" width="6.0"/>
    <col customWidth="1" min="7" max="8" width="5.0"/>
    <col customWidth="1" min="9" max="9" width="10.0"/>
    <col customWidth="1" min="10" max="10" width="35.0"/>
    <col customWidth="1" min="11" max="11" width="14.0"/>
    <col customWidth="1" min="12" max="12" width="28.0"/>
    <col customWidth="1" min="13" max="13" width="14.0"/>
    <col customWidth="1" min="14" max="14" width="10.0"/>
    <col customWidth="1" min="15" max="16" width="12.0"/>
    <col customWidth="1" min="17" max="18" width="8.0"/>
    <col customWidth="1" min="19" max="19" width="32.0"/>
    <col customWidth="1" min="20" max="20" width="18.0"/>
    <col customWidth="1" min="21" max="21" width="30.0"/>
    <col customWidth="1" min="22" max="22" width="14.0"/>
    <col customWidth="1" min="23" max="24" width="10.0"/>
    <col customWidth="1" min="25" max="40" width="14.38"/>
  </cols>
  <sheetData>
    <row r="1" ht="27.75" customHeight="1">
      <c r="A1" s="1" t="s">
        <v>0</v>
      </c>
    </row>
    <row r="2" ht="30.0" customHeight="1">
      <c r="A2" s="2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1107</v>
      </c>
      <c r="U2" s="2" t="s">
        <v>20</v>
      </c>
      <c r="V2" s="2" t="s">
        <v>21</v>
      </c>
      <c r="W2" s="2" t="s">
        <v>22</v>
      </c>
      <c r="X2" s="2" t="s">
        <v>23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ht="18.0" customHeight="1">
      <c r="A3" s="3">
        <v>1.0</v>
      </c>
      <c r="B3" s="4" t="s">
        <v>24</v>
      </c>
      <c r="C3" s="5" t="s">
        <v>25</v>
      </c>
      <c r="D3" s="6" t="s">
        <v>26</v>
      </c>
      <c r="E3" s="7" t="s">
        <v>27</v>
      </c>
      <c r="F3" s="5" t="str">
        <f t="shared" ref="F3:F182" si="1">DATEDIF(E2,TODAY(),"Y")</f>
        <v>#VALUE!</v>
      </c>
      <c r="G3" s="5" t="str">
        <f t="shared" ref="G3:G182" si="2">DAY(E2)</f>
        <v>#VALUE!</v>
      </c>
      <c r="H3" s="5" t="str">
        <f t="shared" ref="H3:H141" si="3">MONTH(E2)</f>
        <v>#VALUE!</v>
      </c>
      <c r="I3" s="6" t="str">
        <f t="shared" ref="I3:I182" si="4">TEXT(E2,"mmmm")</f>
        <v>Fecha Nacimiento</v>
      </c>
      <c r="J3" s="6" t="s">
        <v>28</v>
      </c>
      <c r="K3" s="6" t="s">
        <v>29</v>
      </c>
      <c r="L3" s="6" t="s">
        <v>30</v>
      </c>
      <c r="M3" s="6">
        <v>7.2077856E7</v>
      </c>
      <c r="N3" s="6" t="s">
        <v>31</v>
      </c>
      <c r="O3" s="6" t="s">
        <v>32</v>
      </c>
      <c r="P3" s="7" t="s">
        <v>33</v>
      </c>
      <c r="Q3" s="5" t="str">
        <f t="shared" ref="Q3:Q182" si="5">DATEDIF(P2,TODAY(),"y")</f>
        <v>#VALUE!</v>
      </c>
      <c r="R3" s="5" t="str">
        <f t="shared" ref="R3:R182" si="6">DATEDIF(P2,TODAY(),"ym")</f>
        <v>#VALUE!</v>
      </c>
      <c r="S3" s="6" t="s">
        <v>34</v>
      </c>
      <c r="T3" s="8" t="s">
        <v>35</v>
      </c>
      <c r="U3" s="6" t="s">
        <v>36</v>
      </c>
      <c r="V3" s="5" t="s">
        <v>37</v>
      </c>
      <c r="W3" s="9" t="s">
        <v>38</v>
      </c>
      <c r="X3" s="5" t="s">
        <v>38</v>
      </c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</row>
    <row r="4" ht="18.0" customHeight="1">
      <c r="A4" s="11">
        <v>2.0</v>
      </c>
      <c r="B4" s="12" t="s">
        <v>39</v>
      </c>
      <c r="C4" s="13" t="s">
        <v>40</v>
      </c>
      <c r="D4" s="14" t="s">
        <v>41</v>
      </c>
      <c r="E4" s="15">
        <v>33268.0</v>
      </c>
      <c r="F4" s="13">
        <f t="shared" si="1"/>
        <v>33</v>
      </c>
      <c r="G4" s="13">
        <f t="shared" si="2"/>
        <v>2</v>
      </c>
      <c r="H4" s="13">
        <f t="shared" si="3"/>
        <v>4</v>
      </c>
      <c r="I4" s="14" t="str">
        <f t="shared" si="4"/>
        <v>abril</v>
      </c>
      <c r="J4" s="14" t="s">
        <v>42</v>
      </c>
      <c r="K4" s="14" t="s">
        <v>43</v>
      </c>
      <c r="L4" s="14" t="s">
        <v>44</v>
      </c>
      <c r="M4" s="14">
        <v>9.45514488E8</v>
      </c>
      <c r="N4" s="14" t="s">
        <v>31</v>
      </c>
      <c r="O4" s="14" t="s">
        <v>32</v>
      </c>
      <c r="P4" s="16" t="s">
        <v>45</v>
      </c>
      <c r="Q4" s="13">
        <f t="shared" si="5"/>
        <v>11</v>
      </c>
      <c r="R4" s="13">
        <f t="shared" si="6"/>
        <v>4</v>
      </c>
      <c r="S4" s="14" t="s">
        <v>46</v>
      </c>
      <c r="T4" s="8" t="s">
        <v>35</v>
      </c>
      <c r="U4" s="14" t="s">
        <v>47</v>
      </c>
      <c r="V4" s="13" t="s">
        <v>48</v>
      </c>
      <c r="W4" s="9" t="s">
        <v>38</v>
      </c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</row>
    <row r="5" ht="18.0" customHeight="1">
      <c r="A5" s="3">
        <v>3.0</v>
      </c>
      <c r="B5" s="4" t="s">
        <v>49</v>
      </c>
      <c r="C5" s="5" t="s">
        <v>50</v>
      </c>
      <c r="D5" s="6" t="s">
        <v>26</v>
      </c>
      <c r="E5" s="7" t="s">
        <v>51</v>
      </c>
      <c r="F5" s="5">
        <f t="shared" si="1"/>
        <v>35</v>
      </c>
      <c r="G5" s="5">
        <f t="shared" si="2"/>
        <v>30</v>
      </c>
      <c r="H5" s="5">
        <f t="shared" si="3"/>
        <v>1</v>
      </c>
      <c r="I5" s="6" t="str">
        <f t="shared" si="4"/>
        <v>enero</v>
      </c>
      <c r="J5" s="6" t="s">
        <v>52</v>
      </c>
      <c r="K5" s="6" t="s">
        <v>53</v>
      </c>
      <c r="L5" s="6" t="s">
        <v>54</v>
      </c>
      <c r="M5" s="6">
        <v>9.6976153E7</v>
      </c>
      <c r="N5" s="6" t="s">
        <v>31</v>
      </c>
      <c r="O5" s="6" t="s">
        <v>32</v>
      </c>
      <c r="P5" s="7" t="s">
        <v>55</v>
      </c>
      <c r="Q5" s="5">
        <f t="shared" si="5"/>
        <v>4</v>
      </c>
      <c r="R5" s="5">
        <f t="shared" si="6"/>
        <v>2</v>
      </c>
      <c r="S5" s="6" t="s">
        <v>46</v>
      </c>
      <c r="T5" s="8" t="s">
        <v>35</v>
      </c>
      <c r="U5" s="6" t="s">
        <v>36</v>
      </c>
      <c r="V5" s="5" t="s">
        <v>37</v>
      </c>
      <c r="W5" s="9" t="s">
        <v>38</v>
      </c>
      <c r="X5" s="5" t="s">
        <v>38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ht="18.0" customHeight="1">
      <c r="A6" s="11">
        <v>4.0</v>
      </c>
      <c r="B6" s="12" t="s">
        <v>56</v>
      </c>
      <c r="C6" s="13" t="s">
        <v>57</v>
      </c>
      <c r="D6" s="14" t="s">
        <v>26</v>
      </c>
      <c r="E6" s="18">
        <v>28332.0</v>
      </c>
      <c r="F6" s="13">
        <f t="shared" si="1"/>
        <v>39</v>
      </c>
      <c r="G6" s="13">
        <f t="shared" si="2"/>
        <v>4</v>
      </c>
      <c r="H6" s="13">
        <f t="shared" si="3"/>
        <v>10</v>
      </c>
      <c r="I6" s="14" t="str">
        <f t="shared" si="4"/>
        <v>octubre</v>
      </c>
      <c r="J6" s="14" t="s">
        <v>58</v>
      </c>
      <c r="K6" s="14" t="s">
        <v>59</v>
      </c>
      <c r="L6" s="14" t="s">
        <v>60</v>
      </c>
      <c r="M6" s="14">
        <v>9.50167991E8</v>
      </c>
      <c r="N6" s="14" t="s">
        <v>61</v>
      </c>
      <c r="O6" s="14" t="s">
        <v>62</v>
      </c>
      <c r="P6" s="16" t="s">
        <v>63</v>
      </c>
      <c r="Q6" s="13">
        <f t="shared" si="5"/>
        <v>13</v>
      </c>
      <c r="R6" s="13">
        <f t="shared" si="6"/>
        <v>7</v>
      </c>
      <c r="S6" s="14" t="s">
        <v>64</v>
      </c>
      <c r="T6" s="8" t="s">
        <v>35</v>
      </c>
      <c r="U6" s="14" t="s">
        <v>47</v>
      </c>
      <c r="V6" s="13" t="s">
        <v>48</v>
      </c>
      <c r="W6" s="9" t="s">
        <v>38</v>
      </c>
      <c r="X6" s="13" t="s">
        <v>38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</row>
    <row r="7" ht="18.0" customHeight="1">
      <c r="A7" s="3">
        <v>5.0</v>
      </c>
      <c r="B7" s="4" t="s">
        <v>65</v>
      </c>
      <c r="C7" s="5" t="s">
        <v>66</v>
      </c>
      <c r="D7" s="6" t="s">
        <v>26</v>
      </c>
      <c r="E7" s="19">
        <v>29218.0</v>
      </c>
      <c r="F7" s="5">
        <f t="shared" si="1"/>
        <v>48</v>
      </c>
      <c r="G7" s="5">
        <f t="shared" si="2"/>
        <v>26</v>
      </c>
      <c r="H7" s="5">
        <f t="shared" si="3"/>
        <v>7</v>
      </c>
      <c r="I7" s="6" t="str">
        <f t="shared" si="4"/>
        <v>julio</v>
      </c>
      <c r="J7" s="6" t="s">
        <v>67</v>
      </c>
      <c r="K7" s="6" t="s">
        <v>68</v>
      </c>
      <c r="L7" s="6" t="s">
        <v>69</v>
      </c>
      <c r="M7" s="6">
        <v>9.59563376E8</v>
      </c>
      <c r="N7" s="6" t="s">
        <v>70</v>
      </c>
      <c r="O7" s="6" t="s">
        <v>32</v>
      </c>
      <c r="P7" s="7" t="s">
        <v>71</v>
      </c>
      <c r="Q7" s="5">
        <f t="shared" si="5"/>
        <v>1</v>
      </c>
      <c r="R7" s="5">
        <f t="shared" si="6"/>
        <v>9</v>
      </c>
      <c r="S7" s="6" t="s">
        <v>360</v>
      </c>
      <c r="T7" s="8" t="s">
        <v>35</v>
      </c>
      <c r="U7" s="6" t="s">
        <v>47</v>
      </c>
      <c r="V7" s="5" t="s">
        <v>48</v>
      </c>
      <c r="W7" s="9" t="s">
        <v>38</v>
      </c>
      <c r="X7" s="5" t="s">
        <v>38</v>
      </c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8.0" customHeight="1">
      <c r="A8" s="11">
        <v>6.0</v>
      </c>
      <c r="B8" s="12" t="s">
        <v>72</v>
      </c>
      <c r="C8" s="13" t="s">
        <v>73</v>
      </c>
      <c r="D8" s="14" t="s">
        <v>26</v>
      </c>
      <c r="E8" s="16" t="s">
        <v>74</v>
      </c>
      <c r="F8" s="13">
        <f t="shared" si="1"/>
        <v>46</v>
      </c>
      <c r="G8" s="13">
        <f t="shared" si="2"/>
        <v>29</v>
      </c>
      <c r="H8" s="13">
        <f t="shared" si="3"/>
        <v>12</v>
      </c>
      <c r="I8" s="14" t="str">
        <f t="shared" si="4"/>
        <v>diciembre</v>
      </c>
      <c r="J8" s="14" t="s">
        <v>75</v>
      </c>
      <c r="K8" s="14" t="s">
        <v>68</v>
      </c>
      <c r="L8" s="14" t="s">
        <v>76</v>
      </c>
      <c r="M8" s="14">
        <v>8.1647356E7</v>
      </c>
      <c r="N8" s="14" t="s">
        <v>31</v>
      </c>
      <c r="O8" s="14" t="s">
        <v>32</v>
      </c>
      <c r="P8" s="16" t="s">
        <v>77</v>
      </c>
      <c r="Q8" s="13">
        <f t="shared" si="5"/>
        <v>3</v>
      </c>
      <c r="R8" s="13">
        <f t="shared" si="6"/>
        <v>11</v>
      </c>
      <c r="S8" s="14" t="s">
        <v>64</v>
      </c>
      <c r="T8" s="8" t="s">
        <v>35</v>
      </c>
      <c r="U8" s="14" t="s">
        <v>47</v>
      </c>
      <c r="V8" s="13" t="s">
        <v>48</v>
      </c>
      <c r="W8" s="9" t="s">
        <v>38</v>
      </c>
      <c r="X8" s="13" t="s">
        <v>38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</row>
    <row r="9" ht="18.0" customHeight="1">
      <c r="A9" s="3">
        <v>7.0</v>
      </c>
      <c r="B9" s="4" t="s">
        <v>78</v>
      </c>
      <c r="C9" s="5" t="s">
        <v>79</v>
      </c>
      <c r="D9" s="6" t="s">
        <v>26</v>
      </c>
      <c r="E9" s="7" t="s">
        <v>80</v>
      </c>
      <c r="F9" s="5">
        <f t="shared" si="1"/>
        <v>34</v>
      </c>
      <c r="G9" s="5">
        <f t="shared" si="2"/>
        <v>22</v>
      </c>
      <c r="H9" s="5">
        <f t="shared" si="3"/>
        <v>6</v>
      </c>
      <c r="I9" s="6" t="str">
        <f t="shared" si="4"/>
        <v>junio</v>
      </c>
      <c r="J9" s="6" t="s">
        <v>81</v>
      </c>
      <c r="K9" s="6" t="s">
        <v>29</v>
      </c>
      <c r="L9" s="6" t="s">
        <v>82</v>
      </c>
      <c r="M9" s="6">
        <v>3.2453143E7</v>
      </c>
      <c r="N9" s="6" t="s">
        <v>83</v>
      </c>
      <c r="O9" s="6" t="s">
        <v>32</v>
      </c>
      <c r="P9" s="7" t="s">
        <v>84</v>
      </c>
      <c r="Q9" s="5">
        <f t="shared" si="5"/>
        <v>10</v>
      </c>
      <c r="R9" s="5">
        <f t="shared" si="6"/>
        <v>5</v>
      </c>
      <c r="S9" s="6" t="s">
        <v>46</v>
      </c>
      <c r="T9" s="8" t="s">
        <v>35</v>
      </c>
      <c r="U9" s="6" t="s">
        <v>36</v>
      </c>
      <c r="V9" s="5" t="s">
        <v>37</v>
      </c>
      <c r="W9" s="9" t="s">
        <v>38</v>
      </c>
      <c r="X9" s="5" t="s">
        <v>38</v>
      </c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8.0" customHeight="1">
      <c r="A10" s="11">
        <v>8.0</v>
      </c>
      <c r="B10" s="12" t="s">
        <v>85</v>
      </c>
      <c r="C10" s="13" t="s">
        <v>86</v>
      </c>
      <c r="D10" s="14" t="s">
        <v>26</v>
      </c>
      <c r="E10" s="16" t="s">
        <v>87</v>
      </c>
      <c r="F10" s="13">
        <f t="shared" si="1"/>
        <v>49</v>
      </c>
      <c r="G10" s="13">
        <f t="shared" si="2"/>
        <v>22</v>
      </c>
      <c r="H10" s="13">
        <f t="shared" si="3"/>
        <v>10</v>
      </c>
      <c r="I10" s="14" t="str">
        <f t="shared" si="4"/>
        <v>octubre</v>
      </c>
      <c r="J10" s="14" t="s">
        <v>88</v>
      </c>
      <c r="K10" s="14" t="s">
        <v>89</v>
      </c>
      <c r="L10" s="14" t="s">
        <v>90</v>
      </c>
      <c r="M10" s="14">
        <v>8.2498775E7</v>
      </c>
      <c r="N10" s="14" t="s">
        <v>91</v>
      </c>
      <c r="O10" s="14" t="s">
        <v>92</v>
      </c>
      <c r="P10" s="16" t="s">
        <v>93</v>
      </c>
      <c r="Q10" s="13">
        <f t="shared" si="5"/>
        <v>11</v>
      </c>
      <c r="R10" s="13">
        <f t="shared" si="6"/>
        <v>1</v>
      </c>
      <c r="S10" s="14" t="s">
        <v>94</v>
      </c>
      <c r="T10" s="8" t="s">
        <v>35</v>
      </c>
      <c r="U10" s="14" t="s">
        <v>36</v>
      </c>
      <c r="V10" s="13" t="s">
        <v>37</v>
      </c>
      <c r="W10" s="17"/>
      <c r="X10" s="13" t="s">
        <v>38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</row>
    <row r="11" ht="18.0" customHeight="1">
      <c r="A11" s="3">
        <v>9.0</v>
      </c>
      <c r="B11" s="4" t="s">
        <v>95</v>
      </c>
      <c r="C11" s="5" t="s">
        <v>96</v>
      </c>
      <c r="D11" s="6" t="s">
        <v>26</v>
      </c>
      <c r="E11" s="7" t="s">
        <v>97</v>
      </c>
      <c r="F11" s="5">
        <f t="shared" si="1"/>
        <v>68</v>
      </c>
      <c r="G11" s="5">
        <f t="shared" si="2"/>
        <v>6</v>
      </c>
      <c r="H11" s="5">
        <f t="shared" si="3"/>
        <v>5</v>
      </c>
      <c r="I11" s="6" t="str">
        <f t="shared" si="4"/>
        <v>mayo</v>
      </c>
      <c r="J11" s="6" t="s">
        <v>98</v>
      </c>
      <c r="K11" s="6" t="s">
        <v>89</v>
      </c>
      <c r="L11" s="6" t="s">
        <v>99</v>
      </c>
      <c r="M11" s="6">
        <v>6.8791573E7</v>
      </c>
      <c r="N11" s="6" t="s">
        <v>91</v>
      </c>
      <c r="O11" s="6" t="s">
        <v>100</v>
      </c>
      <c r="P11" s="7" t="s">
        <v>101</v>
      </c>
      <c r="Q11" s="5">
        <f t="shared" si="5"/>
        <v>38</v>
      </c>
      <c r="R11" s="5">
        <f t="shared" si="6"/>
        <v>7</v>
      </c>
      <c r="S11" s="6" t="s">
        <v>94</v>
      </c>
      <c r="T11" s="8" t="s">
        <v>35</v>
      </c>
      <c r="U11" s="6" t="s">
        <v>47</v>
      </c>
      <c r="V11" s="5" t="s">
        <v>48</v>
      </c>
      <c r="W11" s="10"/>
      <c r="X11" s="5" t="s">
        <v>38</v>
      </c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8.0" customHeight="1">
      <c r="A12" s="11">
        <v>10.0</v>
      </c>
      <c r="B12" s="12" t="s">
        <v>1108</v>
      </c>
      <c r="C12" s="13" t="s">
        <v>1109</v>
      </c>
      <c r="D12" s="14" t="s">
        <v>26</v>
      </c>
      <c r="E12" s="33">
        <v>23776.0</v>
      </c>
      <c r="F12" s="13">
        <f t="shared" si="1"/>
        <v>48</v>
      </c>
      <c r="G12" s="13">
        <f t="shared" si="2"/>
        <v>5</v>
      </c>
      <c r="H12" s="13">
        <f t="shared" si="3"/>
        <v>5</v>
      </c>
      <c r="I12" s="14" t="str">
        <f t="shared" si="4"/>
        <v>mayo</v>
      </c>
      <c r="J12" s="14" t="s">
        <v>1110</v>
      </c>
      <c r="K12" s="14" t="s">
        <v>504</v>
      </c>
      <c r="L12" s="14" t="s">
        <v>1111</v>
      </c>
      <c r="M12" s="14">
        <v>9.88141653E8</v>
      </c>
      <c r="N12" s="14" t="s">
        <v>620</v>
      </c>
      <c r="O12" s="14" t="s">
        <v>92</v>
      </c>
      <c r="P12" s="16" t="s">
        <v>1112</v>
      </c>
      <c r="Q12" s="13">
        <f t="shared" si="5"/>
        <v>5</v>
      </c>
      <c r="R12" s="13">
        <f t="shared" si="6"/>
        <v>5</v>
      </c>
      <c r="S12" s="14" t="s">
        <v>250</v>
      </c>
      <c r="T12" s="8" t="s">
        <v>1113</v>
      </c>
      <c r="U12" s="14" t="s">
        <v>1114</v>
      </c>
      <c r="V12" s="13" t="s">
        <v>48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</row>
    <row r="13" ht="18.0" customHeight="1">
      <c r="A13" s="3">
        <v>11.0</v>
      </c>
      <c r="B13" s="4" t="s">
        <v>102</v>
      </c>
      <c r="C13" s="5" t="s">
        <v>103</v>
      </c>
      <c r="D13" s="6" t="s">
        <v>26</v>
      </c>
      <c r="E13" s="7" t="s">
        <v>104</v>
      </c>
      <c r="F13" s="5">
        <f t="shared" si="1"/>
        <v>61</v>
      </c>
      <c r="G13" s="5">
        <f t="shared" si="2"/>
        <v>3</v>
      </c>
      <c r="H13" s="5">
        <f t="shared" si="3"/>
        <v>2</v>
      </c>
      <c r="I13" s="6" t="str">
        <f t="shared" si="4"/>
        <v>febrero</v>
      </c>
      <c r="J13" s="6" t="s">
        <v>105</v>
      </c>
      <c r="K13" s="6" t="s">
        <v>68</v>
      </c>
      <c r="L13" s="6" t="s">
        <v>106</v>
      </c>
      <c r="M13" s="6">
        <v>7.6428416E7</v>
      </c>
      <c r="N13" s="6" t="s">
        <v>91</v>
      </c>
      <c r="O13" s="6" t="s">
        <v>62</v>
      </c>
      <c r="P13" s="7" t="s">
        <v>107</v>
      </c>
      <c r="Q13" s="5">
        <f t="shared" si="5"/>
        <v>0</v>
      </c>
      <c r="R13" s="5">
        <f t="shared" si="6"/>
        <v>7</v>
      </c>
      <c r="S13" s="6" t="s">
        <v>94</v>
      </c>
      <c r="T13" s="8" t="s">
        <v>35</v>
      </c>
      <c r="U13" s="6" t="s">
        <v>47</v>
      </c>
      <c r="V13" s="5" t="s">
        <v>48</v>
      </c>
      <c r="W13" s="10"/>
      <c r="X13" s="5" t="s">
        <v>38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8.0" customHeight="1">
      <c r="A14" s="11">
        <v>12.0</v>
      </c>
      <c r="B14" s="12" t="s">
        <v>108</v>
      </c>
      <c r="C14" s="13" t="s">
        <v>109</v>
      </c>
      <c r="D14" s="14" t="s">
        <v>26</v>
      </c>
      <c r="E14" s="16" t="s">
        <v>110</v>
      </c>
      <c r="F14" s="13">
        <f t="shared" si="1"/>
        <v>40</v>
      </c>
      <c r="G14" s="13">
        <f t="shared" si="2"/>
        <v>16</v>
      </c>
      <c r="H14" s="13">
        <f t="shared" si="3"/>
        <v>9</v>
      </c>
      <c r="I14" s="14" t="str">
        <f t="shared" si="4"/>
        <v>septiembre</v>
      </c>
      <c r="J14" s="14" t="s">
        <v>111</v>
      </c>
      <c r="K14" s="14" t="s">
        <v>89</v>
      </c>
      <c r="L14" s="14" t="s">
        <v>112</v>
      </c>
      <c r="M14" s="14">
        <v>9.49942768E8</v>
      </c>
      <c r="N14" s="14" t="s">
        <v>31</v>
      </c>
      <c r="O14" s="14" t="s">
        <v>32</v>
      </c>
      <c r="P14" s="16" t="s">
        <v>113</v>
      </c>
      <c r="Q14" s="13">
        <f t="shared" si="5"/>
        <v>5</v>
      </c>
      <c r="R14" s="13">
        <f t="shared" si="6"/>
        <v>4</v>
      </c>
      <c r="S14" s="14" t="s">
        <v>64</v>
      </c>
      <c r="T14" s="8" t="s">
        <v>35</v>
      </c>
      <c r="U14" s="14" t="s">
        <v>47</v>
      </c>
      <c r="V14" s="13" t="s">
        <v>37</v>
      </c>
      <c r="W14" s="9" t="s">
        <v>38</v>
      </c>
      <c r="X14" s="13" t="s">
        <v>38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</row>
    <row r="15" ht="18.0" customHeight="1">
      <c r="A15" s="3">
        <v>13.0</v>
      </c>
      <c r="B15" s="4" t="s">
        <v>120</v>
      </c>
      <c r="C15" s="5" t="s">
        <v>121</v>
      </c>
      <c r="D15" s="6" t="s">
        <v>26</v>
      </c>
      <c r="E15" s="20">
        <v>37412.0</v>
      </c>
      <c r="F15" s="5">
        <f t="shared" si="1"/>
        <v>47</v>
      </c>
      <c r="G15" s="5">
        <f t="shared" si="2"/>
        <v>17</v>
      </c>
      <c r="H15" s="5">
        <f t="shared" si="3"/>
        <v>6</v>
      </c>
      <c r="I15" s="6" t="str">
        <f t="shared" si="4"/>
        <v>junio</v>
      </c>
      <c r="J15" s="6" t="s">
        <v>122</v>
      </c>
      <c r="K15" s="6" t="s">
        <v>123</v>
      </c>
      <c r="L15" s="6" t="s">
        <v>124</v>
      </c>
      <c r="M15" s="6">
        <v>5.6962773756E10</v>
      </c>
      <c r="N15" s="6" t="s">
        <v>125</v>
      </c>
      <c r="O15" s="6" t="s">
        <v>32</v>
      </c>
      <c r="P15" s="7" t="s">
        <v>126</v>
      </c>
      <c r="Q15" s="5">
        <f t="shared" si="5"/>
        <v>2</v>
      </c>
      <c r="R15" s="5">
        <f t="shared" si="6"/>
        <v>1</v>
      </c>
      <c r="S15" s="6" t="s">
        <v>64</v>
      </c>
      <c r="T15" s="8" t="s">
        <v>35</v>
      </c>
      <c r="U15" s="6" t="s">
        <v>36</v>
      </c>
      <c r="V15" s="5" t="s">
        <v>37</v>
      </c>
      <c r="W15" s="9" t="s">
        <v>38</v>
      </c>
      <c r="X15" s="5" t="s">
        <v>38</v>
      </c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8.0" customHeight="1">
      <c r="A16" s="11">
        <v>14.0</v>
      </c>
      <c r="B16" s="12" t="s">
        <v>128</v>
      </c>
      <c r="C16" s="13" t="s">
        <v>129</v>
      </c>
      <c r="D16" s="14" t="s">
        <v>26</v>
      </c>
      <c r="E16" s="18">
        <v>34309.0</v>
      </c>
      <c r="F16" s="13">
        <f t="shared" si="1"/>
        <v>23</v>
      </c>
      <c r="G16" s="13">
        <f t="shared" si="2"/>
        <v>5</v>
      </c>
      <c r="H16" s="13">
        <f t="shared" si="3"/>
        <v>6</v>
      </c>
      <c r="I16" s="14" t="str">
        <f t="shared" si="4"/>
        <v>junio</v>
      </c>
      <c r="J16" s="14" t="s">
        <v>130</v>
      </c>
      <c r="K16" s="14" t="s">
        <v>131</v>
      </c>
      <c r="L16" s="14" t="s">
        <v>132</v>
      </c>
      <c r="M16" s="14">
        <v>9.97666574E8</v>
      </c>
      <c r="N16" s="14" t="s">
        <v>133</v>
      </c>
      <c r="O16" s="14" t="s">
        <v>32</v>
      </c>
      <c r="P16" s="16" t="s">
        <v>63</v>
      </c>
      <c r="Q16" s="13">
        <f t="shared" si="5"/>
        <v>1</v>
      </c>
      <c r="R16" s="13">
        <f t="shared" si="6"/>
        <v>8</v>
      </c>
      <c r="S16" s="14" t="s">
        <v>64</v>
      </c>
      <c r="T16" s="8" t="s">
        <v>35</v>
      </c>
      <c r="U16" s="14" t="s">
        <v>47</v>
      </c>
      <c r="V16" s="13" t="s">
        <v>48</v>
      </c>
      <c r="W16" s="9" t="s">
        <v>38</v>
      </c>
      <c r="X16" s="13" t="s">
        <v>38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</row>
    <row r="17" ht="18.0" customHeight="1">
      <c r="A17" s="3">
        <v>15.0</v>
      </c>
      <c r="B17" s="4" t="s">
        <v>140</v>
      </c>
      <c r="C17" s="5" t="s">
        <v>141</v>
      </c>
      <c r="D17" s="6" t="s">
        <v>26</v>
      </c>
      <c r="E17" s="7" t="s">
        <v>142</v>
      </c>
      <c r="F17" s="5">
        <f t="shared" si="1"/>
        <v>32</v>
      </c>
      <c r="G17" s="5">
        <f t="shared" si="2"/>
        <v>6</v>
      </c>
      <c r="H17" s="5">
        <f t="shared" si="3"/>
        <v>12</v>
      </c>
      <c r="I17" s="6" t="str">
        <f t="shared" si="4"/>
        <v>diciembre</v>
      </c>
      <c r="J17" s="6" t="s">
        <v>143</v>
      </c>
      <c r="K17" s="6" t="s">
        <v>43</v>
      </c>
      <c r="L17" s="6" t="s">
        <v>144</v>
      </c>
      <c r="M17" s="6">
        <v>8.6061268E7</v>
      </c>
      <c r="N17" s="6" t="s">
        <v>70</v>
      </c>
      <c r="O17" s="6" t="s">
        <v>32</v>
      </c>
      <c r="P17" s="7" t="s">
        <v>145</v>
      </c>
      <c r="Q17" s="5">
        <f t="shared" si="5"/>
        <v>1</v>
      </c>
      <c r="R17" s="5">
        <f t="shared" si="6"/>
        <v>9</v>
      </c>
      <c r="S17" s="6" t="s">
        <v>64</v>
      </c>
      <c r="T17" s="8" t="s">
        <v>35</v>
      </c>
      <c r="U17" s="6" t="s">
        <v>47</v>
      </c>
      <c r="V17" s="5" t="s">
        <v>48</v>
      </c>
      <c r="W17" s="9" t="s">
        <v>38</v>
      </c>
      <c r="X17" s="5" t="s">
        <v>38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8.0" customHeight="1">
      <c r="A18" s="11">
        <v>16.0</v>
      </c>
      <c r="B18" s="12" t="s">
        <v>146</v>
      </c>
      <c r="C18" s="13" t="s">
        <v>147</v>
      </c>
      <c r="D18" s="14" t="s">
        <v>26</v>
      </c>
      <c r="E18" s="16" t="s">
        <v>148</v>
      </c>
      <c r="F18" s="13">
        <f t="shared" si="1"/>
        <v>31</v>
      </c>
      <c r="G18" s="13">
        <f t="shared" si="2"/>
        <v>16</v>
      </c>
      <c r="H18" s="13">
        <f t="shared" si="3"/>
        <v>1</v>
      </c>
      <c r="I18" s="14" t="str">
        <f t="shared" si="4"/>
        <v>enero</v>
      </c>
      <c r="J18" s="14" t="s">
        <v>149</v>
      </c>
      <c r="K18" s="14" t="s">
        <v>89</v>
      </c>
      <c r="L18" s="14" t="s">
        <v>150</v>
      </c>
      <c r="M18" s="14">
        <v>9.4335556E7</v>
      </c>
      <c r="N18" s="14" t="s">
        <v>91</v>
      </c>
      <c r="O18" s="14" t="s">
        <v>151</v>
      </c>
      <c r="P18" s="16" t="s">
        <v>152</v>
      </c>
      <c r="Q18" s="13">
        <f t="shared" si="5"/>
        <v>6</v>
      </c>
      <c r="R18" s="13">
        <f t="shared" si="6"/>
        <v>2</v>
      </c>
      <c r="S18" s="14" t="s">
        <v>153</v>
      </c>
      <c r="T18" s="8" t="s">
        <v>35</v>
      </c>
      <c r="U18" s="14" t="s">
        <v>36</v>
      </c>
      <c r="V18" s="13" t="s">
        <v>37</v>
      </c>
      <c r="W18" s="17"/>
      <c r="X18" s="13" t="s">
        <v>38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</row>
    <row r="19" ht="18.0" customHeight="1">
      <c r="A19" s="3">
        <v>17.0</v>
      </c>
      <c r="B19" s="4" t="s">
        <v>154</v>
      </c>
      <c r="C19" s="5" t="s">
        <v>155</v>
      </c>
      <c r="D19" s="6" t="s">
        <v>26</v>
      </c>
      <c r="E19" s="20">
        <v>34493.0</v>
      </c>
      <c r="F19" s="5">
        <f t="shared" si="1"/>
        <v>66</v>
      </c>
      <c r="G19" s="5">
        <f t="shared" si="2"/>
        <v>2</v>
      </c>
      <c r="H19" s="5">
        <f t="shared" si="3"/>
        <v>9</v>
      </c>
      <c r="I19" s="6" t="str">
        <f t="shared" si="4"/>
        <v>septiembre</v>
      </c>
      <c r="J19" s="6" t="s">
        <v>156</v>
      </c>
      <c r="K19" s="6" t="s">
        <v>53</v>
      </c>
      <c r="L19" s="6" t="s">
        <v>157</v>
      </c>
      <c r="M19" s="6">
        <v>5.6971990838E10</v>
      </c>
      <c r="N19" s="6" t="s">
        <v>31</v>
      </c>
      <c r="O19" s="6" t="s">
        <v>32</v>
      </c>
      <c r="P19" s="7" t="s">
        <v>158</v>
      </c>
      <c r="Q19" s="5">
        <f t="shared" si="5"/>
        <v>25</v>
      </c>
      <c r="R19" s="5">
        <f t="shared" si="6"/>
        <v>4</v>
      </c>
      <c r="S19" s="6" t="s">
        <v>159</v>
      </c>
      <c r="T19" s="8" t="s">
        <v>35</v>
      </c>
      <c r="U19" s="6" t="s">
        <v>36</v>
      </c>
      <c r="V19" s="5" t="s">
        <v>37</v>
      </c>
      <c r="W19" s="10"/>
      <c r="X19" s="5" t="s">
        <v>38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8.0" customHeight="1">
      <c r="A20" s="11">
        <v>18.0</v>
      </c>
      <c r="B20" s="12" t="s">
        <v>160</v>
      </c>
      <c r="C20" s="13" t="s">
        <v>161</v>
      </c>
      <c r="D20" s="14" t="s">
        <v>26</v>
      </c>
      <c r="E20" s="16" t="s">
        <v>162</v>
      </c>
      <c r="F20" s="13">
        <f t="shared" si="1"/>
        <v>31</v>
      </c>
      <c r="G20" s="13">
        <f t="shared" si="2"/>
        <v>8</v>
      </c>
      <c r="H20" s="13">
        <f t="shared" si="3"/>
        <v>6</v>
      </c>
      <c r="I20" s="14" t="str">
        <f t="shared" si="4"/>
        <v>junio</v>
      </c>
      <c r="J20" s="14" t="s">
        <v>163</v>
      </c>
      <c r="K20" s="14" t="s">
        <v>89</v>
      </c>
      <c r="L20" s="14" t="s">
        <v>164</v>
      </c>
      <c r="M20" s="14">
        <v>9.62030777E8</v>
      </c>
      <c r="N20" s="14" t="s">
        <v>70</v>
      </c>
      <c r="O20" s="14" t="s">
        <v>32</v>
      </c>
      <c r="P20" s="16" t="s">
        <v>165</v>
      </c>
      <c r="Q20" s="13">
        <f t="shared" si="5"/>
        <v>1</v>
      </c>
      <c r="R20" s="13">
        <f t="shared" si="6"/>
        <v>7</v>
      </c>
      <c r="S20" s="14" t="s">
        <v>64</v>
      </c>
      <c r="T20" s="8" t="s">
        <v>35</v>
      </c>
      <c r="U20" s="14" t="s">
        <v>36</v>
      </c>
      <c r="V20" s="13" t="s">
        <v>37</v>
      </c>
      <c r="W20" s="9" t="s">
        <v>38</v>
      </c>
      <c r="X20" s="13" t="s">
        <v>38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</row>
    <row r="21" ht="18.0" customHeight="1">
      <c r="A21" s="3">
        <v>19.0</v>
      </c>
      <c r="B21" s="4" t="s">
        <v>1115</v>
      </c>
      <c r="C21" s="5" t="s">
        <v>1116</v>
      </c>
      <c r="D21" s="6" t="s">
        <v>26</v>
      </c>
      <c r="E21" s="7" t="s">
        <v>1117</v>
      </c>
      <c r="F21" s="5">
        <f t="shared" si="1"/>
        <v>28</v>
      </c>
      <c r="G21" s="5">
        <f t="shared" si="2"/>
        <v>10</v>
      </c>
      <c r="H21" s="5">
        <f t="shared" si="3"/>
        <v>11</v>
      </c>
      <c r="I21" s="6" t="str">
        <f t="shared" si="4"/>
        <v>noviembre</v>
      </c>
      <c r="J21" s="6" t="s">
        <v>1118</v>
      </c>
      <c r="K21" s="6" t="s">
        <v>29</v>
      </c>
      <c r="L21" s="6" t="s">
        <v>1119</v>
      </c>
      <c r="M21" s="6">
        <v>7.769159E7</v>
      </c>
      <c r="N21" s="6" t="s">
        <v>91</v>
      </c>
      <c r="O21" s="6" t="s">
        <v>62</v>
      </c>
      <c r="P21" s="7" t="s">
        <v>1120</v>
      </c>
      <c r="Q21" s="5">
        <f t="shared" si="5"/>
        <v>4</v>
      </c>
      <c r="R21" s="5">
        <f t="shared" si="6"/>
        <v>5</v>
      </c>
      <c r="S21" s="6" t="s">
        <v>250</v>
      </c>
      <c r="T21" s="8" t="s">
        <v>35</v>
      </c>
      <c r="U21" s="6" t="s">
        <v>36</v>
      </c>
      <c r="V21" s="5" t="s">
        <v>37</v>
      </c>
      <c r="W21" s="10"/>
      <c r="X21" s="5" t="s">
        <v>38</v>
      </c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8.0" customHeight="1">
      <c r="A22" s="11">
        <v>20.0</v>
      </c>
      <c r="B22" s="12" t="s">
        <v>166</v>
      </c>
      <c r="C22" s="13" t="s">
        <v>167</v>
      </c>
      <c r="D22" s="14" t="s">
        <v>26</v>
      </c>
      <c r="E22" s="16" t="s">
        <v>168</v>
      </c>
      <c r="F22" s="13">
        <f t="shared" si="1"/>
        <v>38</v>
      </c>
      <c r="G22" s="13">
        <f t="shared" si="2"/>
        <v>22</v>
      </c>
      <c r="H22" s="13">
        <f t="shared" si="3"/>
        <v>12</v>
      </c>
      <c r="I22" s="14" t="str">
        <f t="shared" si="4"/>
        <v>diciembre</v>
      </c>
      <c r="J22" s="14" t="s">
        <v>169</v>
      </c>
      <c r="K22" s="14" t="s">
        <v>131</v>
      </c>
      <c r="L22" s="14" t="s">
        <v>170</v>
      </c>
      <c r="M22" s="14">
        <v>8.3763737E7</v>
      </c>
      <c r="N22" s="14" t="s">
        <v>31</v>
      </c>
      <c r="O22" s="14" t="s">
        <v>32</v>
      </c>
      <c r="P22" s="16" t="s">
        <v>171</v>
      </c>
      <c r="Q22" s="13">
        <f t="shared" si="5"/>
        <v>7</v>
      </c>
      <c r="R22" s="13">
        <f t="shared" si="6"/>
        <v>5</v>
      </c>
      <c r="S22" s="14" t="s">
        <v>64</v>
      </c>
      <c r="T22" s="8" t="s">
        <v>35</v>
      </c>
      <c r="U22" s="14" t="s">
        <v>47</v>
      </c>
      <c r="V22" s="13" t="s">
        <v>48</v>
      </c>
      <c r="W22" s="9" t="s">
        <v>38</v>
      </c>
      <c r="X22" s="13" t="s">
        <v>38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</row>
    <row r="23" ht="18.0" customHeight="1">
      <c r="A23" s="3">
        <v>21.0</v>
      </c>
      <c r="B23" s="4" t="s">
        <v>172</v>
      </c>
      <c r="C23" s="5" t="s">
        <v>173</v>
      </c>
      <c r="D23" s="6" t="s">
        <v>26</v>
      </c>
      <c r="E23" s="7" t="s">
        <v>174</v>
      </c>
      <c r="F23" s="5">
        <f t="shared" si="1"/>
        <v>35</v>
      </c>
      <c r="G23" s="5">
        <f t="shared" si="2"/>
        <v>13</v>
      </c>
      <c r="H23" s="5">
        <f t="shared" si="3"/>
        <v>10</v>
      </c>
      <c r="I23" s="6" t="str">
        <f t="shared" si="4"/>
        <v>octubre</v>
      </c>
      <c r="J23" s="6" t="s">
        <v>175</v>
      </c>
      <c r="K23" s="6" t="s">
        <v>43</v>
      </c>
      <c r="L23" s="6" t="s">
        <v>176</v>
      </c>
      <c r="M23" s="6">
        <v>9.8343258E7</v>
      </c>
      <c r="N23" s="6" t="s">
        <v>91</v>
      </c>
      <c r="O23" s="6" t="s">
        <v>100</v>
      </c>
      <c r="P23" s="7" t="s">
        <v>177</v>
      </c>
      <c r="Q23" s="5">
        <f t="shared" si="5"/>
        <v>8</v>
      </c>
      <c r="R23" s="5">
        <f t="shared" si="6"/>
        <v>8</v>
      </c>
      <c r="S23" s="6" t="s">
        <v>94</v>
      </c>
      <c r="T23" s="8" t="s">
        <v>35</v>
      </c>
      <c r="U23" s="6" t="s">
        <v>47</v>
      </c>
      <c r="V23" s="5" t="s">
        <v>48</v>
      </c>
      <c r="W23" s="10"/>
      <c r="X23" s="5" t="s">
        <v>38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8.0" customHeight="1">
      <c r="A24" s="11">
        <v>22.0</v>
      </c>
      <c r="B24" s="12" t="s">
        <v>178</v>
      </c>
      <c r="C24" s="13" t="s">
        <v>179</v>
      </c>
      <c r="D24" s="14" t="s">
        <v>26</v>
      </c>
      <c r="E24" s="16" t="s">
        <v>180</v>
      </c>
      <c r="F24" s="13">
        <f t="shared" si="1"/>
        <v>32</v>
      </c>
      <c r="G24" s="13">
        <f t="shared" si="2"/>
        <v>29</v>
      </c>
      <c r="H24" s="13">
        <f t="shared" si="3"/>
        <v>3</v>
      </c>
      <c r="I24" s="14" t="str">
        <f t="shared" si="4"/>
        <v>marzo</v>
      </c>
      <c r="J24" s="14" t="s">
        <v>181</v>
      </c>
      <c r="K24" s="14" t="s">
        <v>53</v>
      </c>
      <c r="L24" s="14" t="s">
        <v>182</v>
      </c>
      <c r="M24" s="14">
        <v>9.1568512E7</v>
      </c>
      <c r="N24" s="14" t="s">
        <v>83</v>
      </c>
      <c r="O24" s="14" t="s">
        <v>32</v>
      </c>
      <c r="P24" s="16" t="s">
        <v>183</v>
      </c>
      <c r="Q24" s="13">
        <f t="shared" si="5"/>
        <v>8</v>
      </c>
      <c r="R24" s="13">
        <f t="shared" si="6"/>
        <v>8</v>
      </c>
      <c r="S24" s="14" t="s">
        <v>46</v>
      </c>
      <c r="T24" s="8" t="s">
        <v>35</v>
      </c>
      <c r="U24" s="14" t="s">
        <v>36</v>
      </c>
      <c r="V24" s="13" t="s">
        <v>37</v>
      </c>
      <c r="W24" s="9" t="s">
        <v>38</v>
      </c>
      <c r="X24" s="13" t="s">
        <v>38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</row>
    <row r="25" ht="18.0" customHeight="1">
      <c r="A25" s="3">
        <v>23.0</v>
      </c>
      <c r="B25" s="4" t="s">
        <v>184</v>
      </c>
      <c r="C25" s="5" t="s">
        <v>185</v>
      </c>
      <c r="D25" s="6" t="s">
        <v>26</v>
      </c>
      <c r="E25" s="7" t="s">
        <v>186</v>
      </c>
      <c r="F25" s="5">
        <f t="shared" si="1"/>
        <v>51</v>
      </c>
      <c r="G25" s="5">
        <f t="shared" si="2"/>
        <v>20</v>
      </c>
      <c r="H25" s="5">
        <f t="shared" si="3"/>
        <v>11</v>
      </c>
      <c r="I25" s="6" t="str">
        <f t="shared" si="4"/>
        <v>noviembre</v>
      </c>
      <c r="J25" s="6" t="s">
        <v>187</v>
      </c>
      <c r="K25" s="6" t="s">
        <v>89</v>
      </c>
      <c r="L25" s="6" t="s">
        <v>188</v>
      </c>
      <c r="M25" s="6">
        <v>9.86008295E8</v>
      </c>
      <c r="N25" s="6" t="s">
        <v>31</v>
      </c>
      <c r="O25" s="6" t="s">
        <v>32</v>
      </c>
      <c r="P25" s="7" t="s">
        <v>165</v>
      </c>
      <c r="Q25" s="5">
        <f t="shared" si="5"/>
        <v>12</v>
      </c>
      <c r="R25" s="5">
        <f t="shared" si="6"/>
        <v>3</v>
      </c>
      <c r="S25" s="6" t="s">
        <v>64</v>
      </c>
      <c r="T25" s="8" t="s">
        <v>35</v>
      </c>
      <c r="U25" s="6" t="s">
        <v>36</v>
      </c>
      <c r="V25" s="5" t="s">
        <v>37</v>
      </c>
      <c r="W25" s="9" t="s">
        <v>38</v>
      </c>
      <c r="X25" s="5" t="s">
        <v>38</v>
      </c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8.0" customHeight="1">
      <c r="A26" s="11">
        <v>24.0</v>
      </c>
      <c r="B26" s="12" t="s">
        <v>189</v>
      </c>
      <c r="C26" s="13" t="s">
        <v>190</v>
      </c>
      <c r="D26" s="14" t="s">
        <v>26</v>
      </c>
      <c r="E26" s="16" t="s">
        <v>191</v>
      </c>
      <c r="F26" s="13">
        <f t="shared" si="1"/>
        <v>35</v>
      </c>
      <c r="G26" s="13">
        <f t="shared" si="2"/>
        <v>22</v>
      </c>
      <c r="H26" s="13">
        <f t="shared" si="3"/>
        <v>8</v>
      </c>
      <c r="I26" s="14" t="str">
        <f t="shared" si="4"/>
        <v>agosto</v>
      </c>
      <c r="J26" s="14" t="s">
        <v>192</v>
      </c>
      <c r="K26" s="14" t="s">
        <v>89</v>
      </c>
      <c r="L26" s="14" t="s">
        <v>193</v>
      </c>
      <c r="M26" s="14">
        <v>7.732817E7</v>
      </c>
      <c r="N26" s="14" t="s">
        <v>91</v>
      </c>
      <c r="O26" s="14" t="s">
        <v>32</v>
      </c>
      <c r="P26" s="16" t="s">
        <v>194</v>
      </c>
      <c r="Q26" s="13">
        <f t="shared" si="5"/>
        <v>4</v>
      </c>
      <c r="R26" s="13">
        <f t="shared" si="6"/>
        <v>5</v>
      </c>
      <c r="S26" s="14" t="s">
        <v>64</v>
      </c>
      <c r="T26" s="8" t="s">
        <v>35</v>
      </c>
      <c r="U26" s="14" t="s">
        <v>36</v>
      </c>
      <c r="V26" s="13" t="s">
        <v>37</v>
      </c>
      <c r="W26" s="9" t="s">
        <v>38</v>
      </c>
      <c r="X26" s="13" t="s">
        <v>38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</row>
    <row r="27" ht="18.0" customHeight="1">
      <c r="A27" s="3">
        <v>25.0</v>
      </c>
      <c r="B27" s="4" t="s">
        <v>195</v>
      </c>
      <c r="C27" s="5" t="s">
        <v>196</v>
      </c>
      <c r="D27" s="6" t="s">
        <v>26</v>
      </c>
      <c r="E27" s="7" t="s">
        <v>197</v>
      </c>
      <c r="F27" s="5">
        <f t="shared" si="1"/>
        <v>69</v>
      </c>
      <c r="G27" s="5">
        <f t="shared" si="2"/>
        <v>10</v>
      </c>
      <c r="H27" s="5">
        <f t="shared" si="3"/>
        <v>12</v>
      </c>
      <c r="I27" s="6" t="str">
        <f t="shared" si="4"/>
        <v>diciembre</v>
      </c>
      <c r="J27" s="6" t="s">
        <v>198</v>
      </c>
      <c r="K27" s="6" t="s">
        <v>29</v>
      </c>
      <c r="L27" s="6" t="s">
        <v>199</v>
      </c>
      <c r="M27" s="6">
        <v>6.5174343E7</v>
      </c>
      <c r="N27" s="6" t="s">
        <v>70</v>
      </c>
      <c r="O27" s="6" t="s">
        <v>32</v>
      </c>
      <c r="P27" s="7" t="s">
        <v>101</v>
      </c>
      <c r="Q27" s="5">
        <f t="shared" si="5"/>
        <v>20</v>
      </c>
      <c r="R27" s="5">
        <f t="shared" si="6"/>
        <v>10</v>
      </c>
      <c r="S27" s="6" t="s">
        <v>34</v>
      </c>
      <c r="T27" s="8" t="s">
        <v>35</v>
      </c>
      <c r="U27" s="6" t="s">
        <v>47</v>
      </c>
      <c r="V27" s="5" t="s">
        <v>48</v>
      </c>
      <c r="W27" s="9" t="s">
        <v>38</v>
      </c>
      <c r="X27" s="5" t="s">
        <v>38</v>
      </c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8.0" customHeight="1">
      <c r="A28" s="11">
        <v>26.0</v>
      </c>
      <c r="B28" s="12" t="s">
        <v>200</v>
      </c>
      <c r="C28" s="13" t="s">
        <v>201</v>
      </c>
      <c r="D28" s="14" t="s">
        <v>26</v>
      </c>
      <c r="E28" s="16" t="s">
        <v>202</v>
      </c>
      <c r="F28" s="13">
        <f t="shared" si="1"/>
        <v>28</v>
      </c>
      <c r="G28" s="13">
        <f t="shared" si="2"/>
        <v>4</v>
      </c>
      <c r="H28" s="13">
        <f t="shared" si="3"/>
        <v>8</v>
      </c>
      <c r="I28" s="14" t="str">
        <f t="shared" si="4"/>
        <v>agosto</v>
      </c>
      <c r="J28" s="14" t="s">
        <v>203</v>
      </c>
      <c r="K28" s="14" t="s">
        <v>131</v>
      </c>
      <c r="L28" s="21" t="s">
        <v>204</v>
      </c>
      <c r="M28" s="14">
        <v>5.8387425E7</v>
      </c>
      <c r="N28" s="14" t="s">
        <v>83</v>
      </c>
      <c r="O28" s="14" t="s">
        <v>32</v>
      </c>
      <c r="P28" s="16" t="s">
        <v>205</v>
      </c>
      <c r="Q28" s="13">
        <f t="shared" si="5"/>
        <v>5</v>
      </c>
      <c r="R28" s="13">
        <f t="shared" si="6"/>
        <v>5</v>
      </c>
      <c r="S28" s="14" t="s">
        <v>46</v>
      </c>
      <c r="T28" s="8" t="s">
        <v>35</v>
      </c>
      <c r="U28" s="14" t="s">
        <v>47</v>
      </c>
      <c r="V28" s="13" t="s">
        <v>48</v>
      </c>
      <c r="W28" s="9" t="s">
        <v>38</v>
      </c>
      <c r="X28" s="13" t="s">
        <v>38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</row>
    <row r="29" ht="18.0" customHeight="1">
      <c r="A29" s="3">
        <v>27.0</v>
      </c>
      <c r="B29" s="4" t="s">
        <v>206</v>
      </c>
      <c r="C29" s="5" t="s">
        <v>207</v>
      </c>
      <c r="D29" s="6" t="s">
        <v>26</v>
      </c>
      <c r="E29" s="7" t="s">
        <v>208</v>
      </c>
      <c r="F29" s="5">
        <f t="shared" si="1"/>
        <v>34</v>
      </c>
      <c r="G29" s="5">
        <f t="shared" si="2"/>
        <v>15</v>
      </c>
      <c r="H29" s="5">
        <f t="shared" si="3"/>
        <v>8</v>
      </c>
      <c r="I29" s="6" t="str">
        <f t="shared" si="4"/>
        <v>agosto</v>
      </c>
      <c r="J29" s="6" t="s">
        <v>209</v>
      </c>
      <c r="K29" s="6" t="s">
        <v>210</v>
      </c>
      <c r="L29" s="6" t="s">
        <v>211</v>
      </c>
      <c r="M29" s="6">
        <v>3.0575551E7</v>
      </c>
      <c r="N29" s="6" t="s">
        <v>91</v>
      </c>
      <c r="O29" s="6" t="s">
        <v>32</v>
      </c>
      <c r="P29" s="7" t="s">
        <v>212</v>
      </c>
      <c r="Q29" s="5">
        <f t="shared" si="5"/>
        <v>5</v>
      </c>
      <c r="R29" s="5">
        <f t="shared" si="6"/>
        <v>4</v>
      </c>
      <c r="S29" s="6" t="s">
        <v>46</v>
      </c>
      <c r="T29" s="8" t="s">
        <v>35</v>
      </c>
      <c r="U29" s="6" t="s">
        <v>36</v>
      </c>
      <c r="V29" s="5" t="s">
        <v>37</v>
      </c>
      <c r="W29" s="9" t="s">
        <v>38</v>
      </c>
      <c r="X29" s="5" t="s">
        <v>38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8.0" customHeight="1">
      <c r="A30" s="11">
        <v>28.0</v>
      </c>
      <c r="B30" s="12" t="s">
        <v>213</v>
      </c>
      <c r="C30" s="13" t="s">
        <v>214</v>
      </c>
      <c r="D30" s="14" t="s">
        <v>41</v>
      </c>
      <c r="E30" s="16" t="s">
        <v>215</v>
      </c>
      <c r="F30" s="13">
        <f t="shared" si="1"/>
        <v>48</v>
      </c>
      <c r="G30" s="13">
        <f t="shared" si="2"/>
        <v>2</v>
      </c>
      <c r="H30" s="13">
        <f t="shared" si="3"/>
        <v>5</v>
      </c>
      <c r="I30" s="14" t="str">
        <f t="shared" si="4"/>
        <v>mayo</v>
      </c>
      <c r="J30" s="14" t="s">
        <v>216</v>
      </c>
      <c r="K30" s="14" t="s">
        <v>29</v>
      </c>
      <c r="L30" s="14" t="s">
        <v>217</v>
      </c>
      <c r="M30" s="14">
        <v>9.0032341E7</v>
      </c>
      <c r="N30" s="14" t="s">
        <v>70</v>
      </c>
      <c r="O30" s="14" t="s">
        <v>32</v>
      </c>
      <c r="P30" s="16" t="s">
        <v>218</v>
      </c>
      <c r="Q30" s="13">
        <f t="shared" si="5"/>
        <v>6</v>
      </c>
      <c r="R30" s="13">
        <f t="shared" si="6"/>
        <v>11</v>
      </c>
      <c r="S30" s="14" t="s">
        <v>46</v>
      </c>
      <c r="T30" s="8" t="s">
        <v>35</v>
      </c>
      <c r="U30" s="14" t="s">
        <v>47</v>
      </c>
      <c r="V30" s="13" t="s">
        <v>48</v>
      </c>
      <c r="W30" s="9" t="s">
        <v>38</v>
      </c>
      <c r="X30" s="13" t="s">
        <v>38</v>
      </c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</row>
    <row r="31" ht="18.0" customHeight="1">
      <c r="A31" s="3">
        <v>29.0</v>
      </c>
      <c r="B31" s="4" t="s">
        <v>1069</v>
      </c>
      <c r="C31" s="5" t="s">
        <v>1070</v>
      </c>
      <c r="D31" s="6" t="s">
        <v>26</v>
      </c>
      <c r="E31" s="34">
        <v>28307.0</v>
      </c>
      <c r="F31" s="5">
        <f t="shared" si="1"/>
        <v>38</v>
      </c>
      <c r="G31" s="5">
        <f t="shared" si="2"/>
        <v>23</v>
      </c>
      <c r="H31" s="5">
        <f t="shared" si="3"/>
        <v>4</v>
      </c>
      <c r="I31" s="6" t="str">
        <f t="shared" si="4"/>
        <v>abril</v>
      </c>
      <c r="J31" s="6" t="s">
        <v>1071</v>
      </c>
      <c r="K31" s="6" t="s">
        <v>1056</v>
      </c>
      <c r="L31" s="6" t="s">
        <v>1072</v>
      </c>
      <c r="M31" s="6">
        <v>9.54605077E8</v>
      </c>
      <c r="N31" s="6" t="s">
        <v>61</v>
      </c>
      <c r="O31" s="6" t="s">
        <v>32</v>
      </c>
      <c r="P31" s="7" t="s">
        <v>1058</v>
      </c>
      <c r="Q31" s="5">
        <f t="shared" si="5"/>
        <v>5</v>
      </c>
      <c r="R31" s="5">
        <f t="shared" si="6"/>
        <v>7</v>
      </c>
      <c r="S31" s="6" t="s">
        <v>64</v>
      </c>
      <c r="T31" s="36" t="s">
        <v>1059</v>
      </c>
      <c r="U31" s="6" t="s">
        <v>36</v>
      </c>
      <c r="V31" s="5" t="s">
        <v>37</v>
      </c>
      <c r="W31" s="24" t="s">
        <v>1060</v>
      </c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8.0" customHeight="1">
      <c r="A32" s="11">
        <v>30.0</v>
      </c>
      <c r="B32" s="12" t="s">
        <v>219</v>
      </c>
      <c r="C32" s="13" t="s">
        <v>220</v>
      </c>
      <c r="D32" s="14" t="s">
        <v>26</v>
      </c>
      <c r="E32" s="16" t="s">
        <v>221</v>
      </c>
      <c r="F32" s="13">
        <f t="shared" si="1"/>
        <v>48</v>
      </c>
      <c r="G32" s="13">
        <f t="shared" si="2"/>
        <v>1</v>
      </c>
      <c r="H32" s="13">
        <f t="shared" si="3"/>
        <v>7</v>
      </c>
      <c r="I32" s="14" t="str">
        <f t="shared" si="4"/>
        <v>julio</v>
      </c>
      <c r="J32" s="14" t="s">
        <v>222</v>
      </c>
      <c r="K32" s="14" t="s">
        <v>68</v>
      </c>
      <c r="L32" s="14" t="s">
        <v>223</v>
      </c>
      <c r="M32" s="14">
        <v>9.90840739E8</v>
      </c>
      <c r="N32" s="14" t="s">
        <v>31</v>
      </c>
      <c r="O32" s="14" t="s">
        <v>32</v>
      </c>
      <c r="P32" s="16" t="s">
        <v>224</v>
      </c>
      <c r="Q32" s="13">
        <f t="shared" si="5"/>
        <v>0</v>
      </c>
      <c r="R32" s="13">
        <f t="shared" si="6"/>
        <v>8</v>
      </c>
      <c r="S32" s="14" t="s">
        <v>225</v>
      </c>
      <c r="T32" s="8" t="s">
        <v>35</v>
      </c>
      <c r="U32" s="14" t="s">
        <v>47</v>
      </c>
      <c r="V32" s="13" t="s">
        <v>48</v>
      </c>
      <c r="W32" s="9" t="s">
        <v>38</v>
      </c>
      <c r="X32" s="13" t="s">
        <v>38</v>
      </c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</row>
    <row r="33" ht="18.0" customHeight="1">
      <c r="A33" s="3">
        <v>31.0</v>
      </c>
      <c r="B33" s="4" t="s">
        <v>226</v>
      </c>
      <c r="C33" s="5" t="s">
        <v>227</v>
      </c>
      <c r="D33" s="6" t="s">
        <v>228</v>
      </c>
      <c r="E33" s="44">
        <v>36632.0</v>
      </c>
      <c r="F33" s="5">
        <f t="shared" si="1"/>
        <v>31</v>
      </c>
      <c r="G33" s="5">
        <f t="shared" si="2"/>
        <v>30</v>
      </c>
      <c r="H33" s="5">
        <f t="shared" si="3"/>
        <v>5</v>
      </c>
      <c r="I33" s="6" t="str">
        <f t="shared" si="4"/>
        <v>mayo</v>
      </c>
      <c r="J33" s="6" t="s">
        <v>229</v>
      </c>
      <c r="K33" s="6" t="s">
        <v>230</v>
      </c>
      <c r="L33" s="6" t="s">
        <v>231</v>
      </c>
      <c r="M33" s="6">
        <v>9.73132592E8</v>
      </c>
      <c r="N33" s="6" t="s">
        <v>232</v>
      </c>
      <c r="O33" s="6" t="s">
        <v>32</v>
      </c>
      <c r="P33" s="20">
        <v>44487.0</v>
      </c>
      <c r="Q33" s="5">
        <f t="shared" si="5"/>
        <v>4</v>
      </c>
      <c r="R33" s="5">
        <f t="shared" si="6"/>
        <v>5</v>
      </c>
      <c r="S33" s="6" t="s">
        <v>64</v>
      </c>
      <c r="T33" s="8" t="s">
        <v>35</v>
      </c>
      <c r="U33" s="6" t="s">
        <v>36</v>
      </c>
      <c r="V33" s="5" t="s">
        <v>37</v>
      </c>
      <c r="W33" s="9" t="s">
        <v>38</v>
      </c>
      <c r="X33" s="5" t="s">
        <v>38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8.0" customHeight="1">
      <c r="A34" s="11">
        <v>32.0</v>
      </c>
      <c r="B34" s="12" t="s">
        <v>233</v>
      </c>
      <c r="C34" s="13" t="s">
        <v>234</v>
      </c>
      <c r="D34" s="14" t="s">
        <v>26</v>
      </c>
      <c r="E34" s="16" t="s">
        <v>235</v>
      </c>
      <c r="F34" s="13">
        <f t="shared" si="1"/>
        <v>26</v>
      </c>
      <c r="G34" s="13">
        <f t="shared" si="2"/>
        <v>16</v>
      </c>
      <c r="H34" s="13">
        <f t="shared" si="3"/>
        <v>4</v>
      </c>
      <c r="I34" s="14" t="str">
        <f t="shared" si="4"/>
        <v>abril</v>
      </c>
      <c r="J34" s="14" t="s">
        <v>236</v>
      </c>
      <c r="K34" s="14" t="s">
        <v>29</v>
      </c>
      <c r="L34" s="14" t="s">
        <v>237</v>
      </c>
      <c r="M34" s="14">
        <v>9.9940518E7</v>
      </c>
      <c r="N34" s="14" t="s">
        <v>31</v>
      </c>
      <c r="O34" s="14" t="s">
        <v>62</v>
      </c>
      <c r="P34" s="16" t="s">
        <v>77</v>
      </c>
      <c r="Q34" s="13">
        <f t="shared" si="5"/>
        <v>4</v>
      </c>
      <c r="R34" s="13">
        <f t="shared" si="6"/>
        <v>7</v>
      </c>
      <c r="S34" s="14" t="s">
        <v>238</v>
      </c>
      <c r="T34" s="8" t="s">
        <v>35</v>
      </c>
      <c r="U34" s="14" t="s">
        <v>47</v>
      </c>
      <c r="V34" s="13" t="s">
        <v>48</v>
      </c>
      <c r="W34" s="17"/>
      <c r="X34" s="13" t="s">
        <v>38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</row>
    <row r="35" ht="18.0" customHeight="1">
      <c r="A35" s="3">
        <v>33.0</v>
      </c>
      <c r="B35" s="4" t="s">
        <v>239</v>
      </c>
      <c r="C35" s="5" t="s">
        <v>240</v>
      </c>
      <c r="D35" s="6" t="s">
        <v>26</v>
      </c>
      <c r="E35" s="7" t="s">
        <v>241</v>
      </c>
      <c r="F35" s="5">
        <f t="shared" si="1"/>
        <v>38</v>
      </c>
      <c r="G35" s="5">
        <f t="shared" si="2"/>
        <v>24</v>
      </c>
      <c r="H35" s="5">
        <f t="shared" si="3"/>
        <v>8</v>
      </c>
      <c r="I35" s="6" t="str">
        <f t="shared" si="4"/>
        <v>agosto</v>
      </c>
      <c r="J35" s="6" t="s">
        <v>242</v>
      </c>
      <c r="K35" s="6" t="s">
        <v>29</v>
      </c>
      <c r="L35" s="6" t="s">
        <v>243</v>
      </c>
      <c r="M35" s="6">
        <v>9.82602846E8</v>
      </c>
      <c r="N35" s="6" t="s">
        <v>31</v>
      </c>
      <c r="O35" s="6" t="s">
        <v>32</v>
      </c>
      <c r="P35" s="7" t="s">
        <v>244</v>
      </c>
      <c r="Q35" s="5">
        <f t="shared" si="5"/>
        <v>10</v>
      </c>
      <c r="R35" s="5">
        <f t="shared" si="6"/>
        <v>5</v>
      </c>
      <c r="S35" s="6" t="s">
        <v>94</v>
      </c>
      <c r="T35" s="8" t="s">
        <v>35</v>
      </c>
      <c r="U35" s="6" t="s">
        <v>36</v>
      </c>
      <c r="V35" s="5" t="s">
        <v>37</v>
      </c>
      <c r="W35" s="10"/>
      <c r="X35" s="5" t="s">
        <v>38</v>
      </c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8.0" customHeight="1">
      <c r="A36" s="11">
        <v>34.0</v>
      </c>
      <c r="B36" s="12" t="s">
        <v>245</v>
      </c>
      <c r="C36" s="13" t="s">
        <v>246</v>
      </c>
      <c r="D36" s="14" t="s">
        <v>26</v>
      </c>
      <c r="E36" s="18">
        <v>29872.0</v>
      </c>
      <c r="F36" s="13">
        <f t="shared" si="1"/>
        <v>29</v>
      </c>
      <c r="G36" s="13">
        <f t="shared" si="2"/>
        <v>24</v>
      </c>
      <c r="H36" s="13">
        <f t="shared" si="3"/>
        <v>9</v>
      </c>
      <c r="I36" s="14" t="str">
        <f t="shared" si="4"/>
        <v>septiembre</v>
      </c>
      <c r="J36" s="14" t="s">
        <v>247</v>
      </c>
      <c r="K36" s="14" t="s">
        <v>53</v>
      </c>
      <c r="L36" s="14" t="s">
        <v>248</v>
      </c>
      <c r="M36" s="14">
        <v>5.6976731935E10</v>
      </c>
      <c r="N36" s="14" t="s">
        <v>249</v>
      </c>
      <c r="O36" s="14" t="s">
        <v>32</v>
      </c>
      <c r="P36" s="16" t="s">
        <v>126</v>
      </c>
      <c r="Q36" s="13">
        <f t="shared" si="5"/>
        <v>4</v>
      </c>
      <c r="R36" s="13">
        <f t="shared" si="6"/>
        <v>7</v>
      </c>
      <c r="S36" s="14" t="s">
        <v>250</v>
      </c>
      <c r="T36" s="8" t="s">
        <v>35</v>
      </c>
      <c r="U36" s="14" t="s">
        <v>251</v>
      </c>
      <c r="V36" s="13" t="s">
        <v>48</v>
      </c>
      <c r="W36" s="17"/>
      <c r="X36" s="13" t="s">
        <v>38</v>
      </c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</row>
    <row r="37" ht="18.0" customHeight="1">
      <c r="A37" s="3">
        <v>35.0</v>
      </c>
      <c r="B37" s="4" t="s">
        <v>1079</v>
      </c>
      <c r="C37" s="5" t="s">
        <v>1080</v>
      </c>
      <c r="D37" s="6" t="s">
        <v>26</v>
      </c>
      <c r="E37" s="34">
        <v>30207.0</v>
      </c>
      <c r="F37" s="5">
        <f t="shared" si="1"/>
        <v>44</v>
      </c>
      <c r="G37" s="5">
        <f t="shared" si="2"/>
        <v>13</v>
      </c>
      <c r="H37" s="5">
        <f t="shared" si="3"/>
        <v>10</v>
      </c>
      <c r="I37" s="6" t="str">
        <f t="shared" si="4"/>
        <v>octubre</v>
      </c>
      <c r="J37" s="6" t="s">
        <v>1081</v>
      </c>
      <c r="K37" s="6" t="s">
        <v>89</v>
      </c>
      <c r="L37" s="6" t="s">
        <v>1082</v>
      </c>
      <c r="M37" s="6">
        <v>7.1551423E7</v>
      </c>
      <c r="N37" s="6" t="s">
        <v>83</v>
      </c>
      <c r="O37" s="6" t="s">
        <v>32</v>
      </c>
      <c r="P37" s="7" t="s">
        <v>1083</v>
      </c>
      <c r="Q37" s="5">
        <f t="shared" si="5"/>
        <v>1</v>
      </c>
      <c r="R37" s="5">
        <f t="shared" si="6"/>
        <v>8</v>
      </c>
      <c r="S37" s="6" t="s">
        <v>64</v>
      </c>
      <c r="T37" s="36" t="s">
        <v>1059</v>
      </c>
      <c r="U37" s="6" t="s">
        <v>47</v>
      </c>
      <c r="V37" s="5" t="s">
        <v>48</v>
      </c>
      <c r="W37" s="24" t="s">
        <v>1060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8.0" customHeight="1">
      <c r="A38" s="11">
        <v>36.0</v>
      </c>
      <c r="B38" s="12" t="s">
        <v>252</v>
      </c>
      <c r="C38" s="13" t="s">
        <v>253</v>
      </c>
      <c r="D38" s="14" t="s">
        <v>26</v>
      </c>
      <c r="E38" s="16" t="s">
        <v>254</v>
      </c>
      <c r="F38" s="13">
        <f t="shared" si="1"/>
        <v>43</v>
      </c>
      <c r="G38" s="13">
        <f t="shared" si="2"/>
        <v>13</v>
      </c>
      <c r="H38" s="13">
        <f t="shared" si="3"/>
        <v>9</v>
      </c>
      <c r="I38" s="14" t="str">
        <f t="shared" si="4"/>
        <v>septiembre</v>
      </c>
      <c r="J38" s="14" t="s">
        <v>255</v>
      </c>
      <c r="K38" s="14" t="s">
        <v>256</v>
      </c>
      <c r="L38" s="14" t="s">
        <v>257</v>
      </c>
      <c r="M38" s="14">
        <v>8.1600316E7</v>
      </c>
      <c r="N38" s="14" t="s">
        <v>249</v>
      </c>
      <c r="O38" s="14" t="s">
        <v>32</v>
      </c>
      <c r="P38" s="16" t="s">
        <v>258</v>
      </c>
      <c r="Q38" s="22">
        <f t="shared" si="5"/>
        <v>0</v>
      </c>
      <c r="R38" s="13">
        <f t="shared" si="6"/>
        <v>6</v>
      </c>
      <c r="S38" s="14" t="s">
        <v>250</v>
      </c>
      <c r="T38" s="8" t="s">
        <v>35</v>
      </c>
      <c r="U38" s="14" t="s">
        <v>47</v>
      </c>
      <c r="V38" s="13" t="s">
        <v>48</v>
      </c>
      <c r="W38" s="17"/>
      <c r="X38" s="13" t="s">
        <v>38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</row>
    <row r="39" ht="18.0" customHeight="1">
      <c r="A39" s="3">
        <v>37.0</v>
      </c>
      <c r="B39" s="4" t="s">
        <v>1044</v>
      </c>
      <c r="C39" s="5" t="s">
        <v>1045</v>
      </c>
      <c r="D39" s="6" t="s">
        <v>26</v>
      </c>
      <c r="E39" s="45">
        <v>30104.0</v>
      </c>
      <c r="F39" s="5">
        <f t="shared" si="1"/>
        <v>50</v>
      </c>
      <c r="G39" s="5">
        <f t="shared" si="2"/>
        <v>6</v>
      </c>
      <c r="H39" s="5">
        <f t="shared" si="3"/>
        <v>2</v>
      </c>
      <c r="I39" s="6" t="str">
        <f t="shared" si="4"/>
        <v>febrero</v>
      </c>
      <c r="J39" s="6" t="s">
        <v>1046</v>
      </c>
      <c r="K39" s="6" t="s">
        <v>131</v>
      </c>
      <c r="L39" s="6" t="s">
        <v>1047</v>
      </c>
      <c r="M39" s="6">
        <v>9.3250187E8</v>
      </c>
      <c r="N39" s="6" t="s">
        <v>83</v>
      </c>
      <c r="O39" s="6" t="s">
        <v>32</v>
      </c>
      <c r="P39" s="7" t="s">
        <v>1048</v>
      </c>
      <c r="Q39" s="5">
        <f t="shared" si="5"/>
        <v>4</v>
      </c>
      <c r="R39" s="5">
        <f t="shared" si="6"/>
        <v>8</v>
      </c>
      <c r="S39" s="6" t="s">
        <v>46</v>
      </c>
      <c r="T39" s="8" t="s">
        <v>35</v>
      </c>
      <c r="U39" s="6" t="s">
        <v>47</v>
      </c>
      <c r="V39" s="5" t="s">
        <v>48</v>
      </c>
      <c r="W39" s="24" t="s">
        <v>285</v>
      </c>
      <c r="X39" s="5" t="s">
        <v>38</v>
      </c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8.0" customHeight="1">
      <c r="A40" s="11">
        <v>38.0</v>
      </c>
      <c r="B40" s="12" t="s">
        <v>259</v>
      </c>
      <c r="C40" s="13" t="s">
        <v>260</v>
      </c>
      <c r="D40" s="14" t="s">
        <v>26</v>
      </c>
      <c r="E40" s="16" t="s">
        <v>261</v>
      </c>
      <c r="F40" s="13">
        <f t="shared" si="1"/>
        <v>43</v>
      </c>
      <c r="G40" s="13">
        <f t="shared" si="2"/>
        <v>2</v>
      </c>
      <c r="H40" s="13">
        <f t="shared" si="3"/>
        <v>6</v>
      </c>
      <c r="I40" s="14" t="str">
        <f t="shared" si="4"/>
        <v>junio</v>
      </c>
      <c r="J40" s="14" t="s">
        <v>262</v>
      </c>
      <c r="K40" s="14" t="s">
        <v>68</v>
      </c>
      <c r="L40" s="21" t="s">
        <v>263</v>
      </c>
      <c r="M40" s="14">
        <v>8.8803235E7</v>
      </c>
      <c r="N40" s="14" t="s">
        <v>249</v>
      </c>
      <c r="O40" s="14" t="s">
        <v>32</v>
      </c>
      <c r="P40" s="16" t="s">
        <v>264</v>
      </c>
      <c r="Q40" s="13">
        <f t="shared" si="5"/>
        <v>1</v>
      </c>
      <c r="R40" s="13">
        <f t="shared" si="6"/>
        <v>0</v>
      </c>
      <c r="S40" s="14" t="s">
        <v>265</v>
      </c>
      <c r="T40" s="8" t="s">
        <v>35</v>
      </c>
      <c r="U40" s="14" t="s">
        <v>36</v>
      </c>
      <c r="V40" s="13" t="s">
        <v>37</v>
      </c>
      <c r="W40" s="9" t="s">
        <v>38</v>
      </c>
      <c r="X40" s="13" t="s">
        <v>38</v>
      </c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</row>
    <row r="41" ht="18.0" customHeight="1">
      <c r="A41" s="3">
        <v>39.0</v>
      </c>
      <c r="B41" s="4" t="s">
        <v>266</v>
      </c>
      <c r="C41" s="5" t="s">
        <v>267</v>
      </c>
      <c r="D41" s="6" t="s">
        <v>26</v>
      </c>
      <c r="E41" s="7" t="s">
        <v>268</v>
      </c>
      <c r="F41" s="5">
        <f t="shared" si="1"/>
        <v>57</v>
      </c>
      <c r="G41" s="5">
        <f t="shared" si="2"/>
        <v>11</v>
      </c>
      <c r="H41" s="5">
        <f t="shared" si="3"/>
        <v>2</v>
      </c>
      <c r="I41" s="6" t="str">
        <f t="shared" si="4"/>
        <v>febrero</v>
      </c>
      <c r="J41" s="6" t="s">
        <v>269</v>
      </c>
      <c r="K41" s="6" t="s">
        <v>256</v>
      </c>
      <c r="L41" s="6" t="s">
        <v>270</v>
      </c>
      <c r="M41" s="6">
        <v>5.3722876E7</v>
      </c>
      <c r="N41" s="6" t="s">
        <v>91</v>
      </c>
      <c r="O41" s="6" t="s">
        <v>32</v>
      </c>
      <c r="P41" s="7" t="s">
        <v>271</v>
      </c>
      <c r="Q41" s="5">
        <f t="shared" si="5"/>
        <v>15</v>
      </c>
      <c r="R41" s="5">
        <f t="shared" si="6"/>
        <v>7</v>
      </c>
      <c r="S41" s="6" t="s">
        <v>46</v>
      </c>
      <c r="T41" s="8" t="s">
        <v>35</v>
      </c>
      <c r="U41" s="6" t="s">
        <v>47</v>
      </c>
      <c r="V41" s="5" t="s">
        <v>48</v>
      </c>
      <c r="W41" s="9" t="s">
        <v>38</v>
      </c>
      <c r="X41" s="5" t="s">
        <v>38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8.0" customHeight="1">
      <c r="A42" s="11">
        <v>40.0</v>
      </c>
      <c r="B42" s="12" t="s">
        <v>272</v>
      </c>
      <c r="C42" s="13" t="s">
        <v>273</v>
      </c>
      <c r="D42" s="14" t="s">
        <v>26</v>
      </c>
      <c r="E42" s="16" t="s">
        <v>274</v>
      </c>
      <c r="F42" s="13">
        <f t="shared" si="1"/>
        <v>50</v>
      </c>
      <c r="G42" s="13">
        <f t="shared" si="2"/>
        <v>21</v>
      </c>
      <c r="H42" s="13">
        <f t="shared" si="3"/>
        <v>5</v>
      </c>
      <c r="I42" s="14" t="str">
        <f t="shared" si="4"/>
        <v>mayo</v>
      </c>
      <c r="J42" s="14" t="s">
        <v>275</v>
      </c>
      <c r="K42" s="14" t="s">
        <v>53</v>
      </c>
      <c r="L42" s="14" t="s">
        <v>276</v>
      </c>
      <c r="M42" s="14">
        <v>9.4353204E7</v>
      </c>
      <c r="N42" s="14" t="s">
        <v>249</v>
      </c>
      <c r="O42" s="14" t="s">
        <v>100</v>
      </c>
      <c r="P42" s="16" t="s">
        <v>277</v>
      </c>
      <c r="Q42" s="13">
        <f t="shared" si="5"/>
        <v>5</v>
      </c>
      <c r="R42" s="13">
        <f t="shared" si="6"/>
        <v>5</v>
      </c>
      <c r="S42" s="14" t="s">
        <v>94</v>
      </c>
      <c r="T42" s="8" t="s">
        <v>35</v>
      </c>
      <c r="U42" s="14" t="s">
        <v>36</v>
      </c>
      <c r="V42" s="13" t="s">
        <v>37</v>
      </c>
      <c r="W42" s="17"/>
      <c r="X42" s="13" t="s">
        <v>38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</row>
    <row r="43" ht="18.0" customHeight="1">
      <c r="A43" s="3">
        <v>41.0</v>
      </c>
      <c r="B43" s="4" t="s">
        <v>278</v>
      </c>
      <c r="C43" s="5" t="s">
        <v>279</v>
      </c>
      <c r="D43" s="6" t="s">
        <v>26</v>
      </c>
      <c r="E43" s="7" t="s">
        <v>280</v>
      </c>
      <c r="F43" s="5">
        <f t="shared" si="1"/>
        <v>65</v>
      </c>
      <c r="G43" s="5">
        <f t="shared" si="2"/>
        <v>24</v>
      </c>
      <c r="H43" s="5">
        <f t="shared" si="3"/>
        <v>5</v>
      </c>
      <c r="I43" s="6" t="str">
        <f t="shared" si="4"/>
        <v>mayo</v>
      </c>
      <c r="J43" s="6" t="s">
        <v>281</v>
      </c>
      <c r="K43" s="6" t="s">
        <v>29</v>
      </c>
      <c r="L43" s="6" t="s">
        <v>282</v>
      </c>
      <c r="M43" s="6">
        <v>9.6349832E8</v>
      </c>
      <c r="N43" s="6" t="s">
        <v>31</v>
      </c>
      <c r="O43" s="6" t="s">
        <v>32</v>
      </c>
      <c r="P43" s="7" t="s">
        <v>283</v>
      </c>
      <c r="Q43" s="5">
        <f t="shared" si="5"/>
        <v>21</v>
      </c>
      <c r="R43" s="5">
        <f t="shared" si="6"/>
        <v>4</v>
      </c>
      <c r="S43" s="6" t="s">
        <v>284</v>
      </c>
      <c r="T43" s="8" t="s">
        <v>35</v>
      </c>
      <c r="U43" s="6" t="s">
        <v>47</v>
      </c>
      <c r="V43" s="5" t="s">
        <v>48</v>
      </c>
      <c r="W43" s="24" t="s">
        <v>285</v>
      </c>
      <c r="X43" s="5" t="s">
        <v>38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8.0" customHeight="1">
      <c r="A44" s="11">
        <v>42.0</v>
      </c>
      <c r="B44" s="12" t="s">
        <v>286</v>
      </c>
      <c r="C44" s="13" t="s">
        <v>287</v>
      </c>
      <c r="D44" s="14" t="s">
        <v>26</v>
      </c>
      <c r="E44" s="16" t="s">
        <v>288</v>
      </c>
      <c r="F44" s="13">
        <f t="shared" si="1"/>
        <v>29</v>
      </c>
      <c r="G44" s="13">
        <f t="shared" si="2"/>
        <v>10</v>
      </c>
      <c r="H44" s="13">
        <f t="shared" si="3"/>
        <v>8</v>
      </c>
      <c r="I44" s="14" t="str">
        <f t="shared" si="4"/>
        <v>agosto</v>
      </c>
      <c r="J44" s="14" t="s">
        <v>289</v>
      </c>
      <c r="K44" s="14" t="s">
        <v>89</v>
      </c>
      <c r="L44" s="14" t="s">
        <v>290</v>
      </c>
      <c r="M44" s="14">
        <v>9.4761635E7</v>
      </c>
      <c r="N44" s="14" t="s">
        <v>61</v>
      </c>
      <c r="O44" s="14" t="s">
        <v>32</v>
      </c>
      <c r="P44" s="16" t="s">
        <v>291</v>
      </c>
      <c r="Q44" s="13">
        <f t="shared" si="5"/>
        <v>5</v>
      </c>
      <c r="R44" s="13">
        <f t="shared" si="6"/>
        <v>1</v>
      </c>
      <c r="S44" s="14" t="s">
        <v>292</v>
      </c>
      <c r="T44" s="8" t="s">
        <v>35</v>
      </c>
      <c r="U44" s="14" t="s">
        <v>47</v>
      </c>
      <c r="V44" s="13" t="s">
        <v>48</v>
      </c>
      <c r="W44" s="17"/>
      <c r="X44" s="13" t="s">
        <v>38</v>
      </c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</row>
    <row r="45" ht="18.0" customHeight="1">
      <c r="A45" s="3">
        <v>43.0</v>
      </c>
      <c r="B45" s="4" t="s">
        <v>293</v>
      </c>
      <c r="C45" s="5" t="s">
        <v>294</v>
      </c>
      <c r="D45" s="6" t="s">
        <v>26</v>
      </c>
      <c r="E45" s="7" t="s">
        <v>295</v>
      </c>
      <c r="F45" s="5">
        <f t="shared" si="1"/>
        <v>52</v>
      </c>
      <c r="G45" s="5">
        <f t="shared" si="2"/>
        <v>12</v>
      </c>
      <c r="H45" s="5">
        <f t="shared" si="3"/>
        <v>6</v>
      </c>
      <c r="I45" s="6" t="str">
        <f t="shared" si="4"/>
        <v>junio</v>
      </c>
      <c r="J45" s="6" t="s">
        <v>296</v>
      </c>
      <c r="K45" s="6" t="s">
        <v>297</v>
      </c>
      <c r="L45" s="6" t="s">
        <v>298</v>
      </c>
      <c r="M45" s="6">
        <v>8.8283926E7</v>
      </c>
      <c r="N45" s="6" t="s">
        <v>70</v>
      </c>
      <c r="O45" s="6" t="s">
        <v>32</v>
      </c>
      <c r="P45" s="7" t="s">
        <v>299</v>
      </c>
      <c r="Q45" s="5">
        <f t="shared" si="5"/>
        <v>5</v>
      </c>
      <c r="R45" s="5">
        <f t="shared" si="6"/>
        <v>3</v>
      </c>
      <c r="S45" s="6" t="s">
        <v>250</v>
      </c>
      <c r="T45" s="8" t="s">
        <v>35</v>
      </c>
      <c r="U45" s="6" t="s">
        <v>47</v>
      </c>
      <c r="V45" s="5" t="s">
        <v>48</v>
      </c>
      <c r="W45" s="10"/>
      <c r="X45" s="5" t="s">
        <v>38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8.0" customHeight="1">
      <c r="A46" s="11">
        <v>44.0</v>
      </c>
      <c r="B46" s="12" t="s">
        <v>300</v>
      </c>
      <c r="C46" s="13" t="s">
        <v>301</v>
      </c>
      <c r="D46" s="14" t="s">
        <v>26</v>
      </c>
      <c r="E46" s="16" t="s">
        <v>302</v>
      </c>
      <c r="F46" s="13">
        <f t="shared" si="1"/>
        <v>33</v>
      </c>
      <c r="G46" s="13">
        <f t="shared" si="2"/>
        <v>8</v>
      </c>
      <c r="H46" s="13">
        <f t="shared" si="3"/>
        <v>6</v>
      </c>
      <c r="I46" s="14" t="str">
        <f t="shared" si="4"/>
        <v>junio</v>
      </c>
      <c r="J46" s="14" t="s">
        <v>303</v>
      </c>
      <c r="K46" s="14" t="s">
        <v>29</v>
      </c>
      <c r="L46" s="14" t="s">
        <v>304</v>
      </c>
      <c r="M46" s="14">
        <v>3.4348005E7</v>
      </c>
      <c r="N46" s="14" t="s">
        <v>91</v>
      </c>
      <c r="O46" s="14" t="s">
        <v>32</v>
      </c>
      <c r="P46" s="16" t="s">
        <v>305</v>
      </c>
      <c r="Q46" s="13">
        <f t="shared" si="5"/>
        <v>6</v>
      </c>
      <c r="R46" s="13">
        <f t="shared" si="6"/>
        <v>8</v>
      </c>
      <c r="S46" s="14" t="s">
        <v>46</v>
      </c>
      <c r="T46" s="8" t="s">
        <v>35</v>
      </c>
      <c r="U46" s="14" t="s">
        <v>47</v>
      </c>
      <c r="V46" s="13" t="s">
        <v>48</v>
      </c>
      <c r="W46" s="9" t="s">
        <v>38</v>
      </c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</row>
    <row r="47" ht="18.0" customHeight="1">
      <c r="A47" s="3">
        <v>45.0</v>
      </c>
      <c r="B47" s="4" t="s">
        <v>306</v>
      </c>
      <c r="C47" s="5" t="s">
        <v>307</v>
      </c>
      <c r="D47" s="6" t="s">
        <v>26</v>
      </c>
      <c r="E47" s="7" t="s">
        <v>308</v>
      </c>
      <c r="F47" s="5">
        <f t="shared" si="1"/>
        <v>48</v>
      </c>
      <c r="G47" s="5">
        <f t="shared" si="2"/>
        <v>18</v>
      </c>
      <c r="H47" s="5">
        <f t="shared" si="3"/>
        <v>6</v>
      </c>
      <c r="I47" s="6" t="str">
        <f t="shared" si="4"/>
        <v>junio</v>
      </c>
      <c r="J47" s="6" t="s">
        <v>309</v>
      </c>
      <c r="K47" s="6" t="s">
        <v>68</v>
      </c>
      <c r="L47" s="6" t="s">
        <v>310</v>
      </c>
      <c r="M47" s="6">
        <v>6.3540042E7</v>
      </c>
      <c r="N47" s="6" t="s">
        <v>249</v>
      </c>
      <c r="O47" s="6" t="s">
        <v>100</v>
      </c>
      <c r="P47" s="7" t="s">
        <v>311</v>
      </c>
      <c r="Q47" s="5">
        <f t="shared" si="5"/>
        <v>10</v>
      </c>
      <c r="R47" s="5">
        <f t="shared" si="6"/>
        <v>7</v>
      </c>
      <c r="S47" s="6" t="s">
        <v>94</v>
      </c>
      <c r="T47" s="8" t="s">
        <v>35</v>
      </c>
      <c r="U47" s="6" t="s">
        <v>36</v>
      </c>
      <c r="V47" s="5" t="s">
        <v>37</v>
      </c>
      <c r="W47" s="10"/>
      <c r="X47" s="5" t="s">
        <v>38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8.0" customHeight="1">
      <c r="A48" s="11">
        <v>46.0</v>
      </c>
      <c r="B48" s="12" t="s">
        <v>312</v>
      </c>
      <c r="C48" s="13" t="s">
        <v>313</v>
      </c>
      <c r="D48" s="14" t="s">
        <v>26</v>
      </c>
      <c r="E48" s="16" t="s">
        <v>314</v>
      </c>
      <c r="F48" s="13">
        <f t="shared" si="1"/>
        <v>45</v>
      </c>
      <c r="G48" s="13">
        <f t="shared" si="2"/>
        <v>20</v>
      </c>
      <c r="H48" s="13">
        <f t="shared" si="3"/>
        <v>7</v>
      </c>
      <c r="I48" s="14" t="str">
        <f t="shared" si="4"/>
        <v>julio</v>
      </c>
      <c r="J48" s="14" t="s">
        <v>315</v>
      </c>
      <c r="K48" s="14" t="s">
        <v>43</v>
      </c>
      <c r="L48" s="14" t="s">
        <v>316</v>
      </c>
      <c r="M48" s="14">
        <v>8.2877792E7</v>
      </c>
      <c r="N48" s="14" t="s">
        <v>61</v>
      </c>
      <c r="O48" s="14" t="s">
        <v>32</v>
      </c>
      <c r="P48" s="16" t="s">
        <v>317</v>
      </c>
      <c r="Q48" s="13">
        <f t="shared" si="5"/>
        <v>17</v>
      </c>
      <c r="R48" s="13">
        <f t="shared" si="6"/>
        <v>8</v>
      </c>
      <c r="S48" s="14" t="s">
        <v>265</v>
      </c>
      <c r="T48" s="8" t="s">
        <v>35</v>
      </c>
      <c r="U48" s="14" t="s">
        <v>36</v>
      </c>
      <c r="V48" s="13" t="s">
        <v>37</v>
      </c>
      <c r="W48" s="9" t="s">
        <v>38</v>
      </c>
      <c r="X48" s="13" t="s">
        <v>38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</row>
    <row r="49" ht="18.0" customHeight="1">
      <c r="A49" s="3">
        <v>47.0</v>
      </c>
      <c r="B49" s="4" t="s">
        <v>318</v>
      </c>
      <c r="C49" s="5" t="s">
        <v>319</v>
      </c>
      <c r="D49" s="6" t="s">
        <v>26</v>
      </c>
      <c r="E49" s="7" t="s">
        <v>320</v>
      </c>
      <c r="F49" s="5">
        <f t="shared" si="1"/>
        <v>54</v>
      </c>
      <c r="G49" s="5">
        <f t="shared" si="2"/>
        <v>21</v>
      </c>
      <c r="H49" s="5">
        <f t="shared" si="3"/>
        <v>7</v>
      </c>
      <c r="I49" s="6" t="str">
        <f t="shared" si="4"/>
        <v>julio</v>
      </c>
      <c r="J49" s="6" t="s">
        <v>321</v>
      </c>
      <c r="K49" s="6" t="s">
        <v>131</v>
      </c>
      <c r="L49" s="6" t="s">
        <v>322</v>
      </c>
      <c r="M49" s="6">
        <v>8.4884908E7</v>
      </c>
      <c r="N49" s="6" t="s">
        <v>31</v>
      </c>
      <c r="O49" s="6" t="s">
        <v>32</v>
      </c>
      <c r="P49" s="7" t="s">
        <v>323</v>
      </c>
      <c r="Q49" s="5">
        <f t="shared" si="5"/>
        <v>17</v>
      </c>
      <c r="R49" s="5">
        <f t="shared" si="6"/>
        <v>7</v>
      </c>
      <c r="S49" s="6" t="s">
        <v>64</v>
      </c>
      <c r="T49" s="8" t="s">
        <v>35</v>
      </c>
      <c r="U49" s="6" t="s">
        <v>47</v>
      </c>
      <c r="V49" s="5" t="s">
        <v>48</v>
      </c>
      <c r="W49" s="9" t="s">
        <v>38</v>
      </c>
      <c r="X49" s="5" t="s">
        <v>38</v>
      </c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8.0" customHeight="1">
      <c r="A50" s="11">
        <v>48.0</v>
      </c>
      <c r="B50" s="12" t="s">
        <v>324</v>
      </c>
      <c r="C50" s="13" t="s">
        <v>325</v>
      </c>
      <c r="D50" s="14" t="s">
        <v>26</v>
      </c>
      <c r="E50" s="16" t="s">
        <v>326</v>
      </c>
      <c r="F50" s="13">
        <f t="shared" si="1"/>
        <v>36</v>
      </c>
      <c r="G50" s="13">
        <f t="shared" si="2"/>
        <v>5</v>
      </c>
      <c r="H50" s="13">
        <f t="shared" si="3"/>
        <v>10</v>
      </c>
      <c r="I50" s="14" t="str">
        <f t="shared" si="4"/>
        <v>octubre</v>
      </c>
      <c r="J50" s="14" t="s">
        <v>327</v>
      </c>
      <c r="K50" s="14" t="s">
        <v>53</v>
      </c>
      <c r="L50" s="14" t="s">
        <v>328</v>
      </c>
      <c r="M50" s="14">
        <v>6.4120512E7</v>
      </c>
      <c r="N50" s="14" t="s">
        <v>31</v>
      </c>
      <c r="O50" s="14" t="s">
        <v>32</v>
      </c>
      <c r="P50" s="16" t="s">
        <v>139</v>
      </c>
      <c r="Q50" s="13">
        <f t="shared" si="5"/>
        <v>9</v>
      </c>
      <c r="R50" s="13">
        <f t="shared" si="6"/>
        <v>0</v>
      </c>
      <c r="S50" s="14" t="s">
        <v>46</v>
      </c>
      <c r="T50" s="8" t="s">
        <v>35</v>
      </c>
      <c r="U50" s="14" t="s">
        <v>36</v>
      </c>
      <c r="V50" s="13" t="s">
        <v>37</v>
      </c>
      <c r="W50" s="9" t="s">
        <v>38</v>
      </c>
      <c r="X50" s="13" t="s">
        <v>38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</row>
    <row r="51" ht="18.0" customHeight="1">
      <c r="A51" s="3">
        <v>49.0</v>
      </c>
      <c r="B51" s="4" t="s">
        <v>329</v>
      </c>
      <c r="C51" s="5" t="s">
        <v>330</v>
      </c>
      <c r="D51" s="6" t="s">
        <v>26</v>
      </c>
      <c r="E51" s="7" t="s">
        <v>331</v>
      </c>
      <c r="F51" s="5">
        <f t="shared" si="1"/>
        <v>30</v>
      </c>
      <c r="G51" s="5">
        <f t="shared" si="2"/>
        <v>25</v>
      </c>
      <c r="H51" s="5">
        <f t="shared" si="3"/>
        <v>12</v>
      </c>
      <c r="I51" s="6" t="str">
        <f t="shared" si="4"/>
        <v>diciembre</v>
      </c>
      <c r="J51" s="6" t="s">
        <v>332</v>
      </c>
      <c r="K51" s="6" t="s">
        <v>53</v>
      </c>
      <c r="L51" s="6" t="s">
        <v>333</v>
      </c>
      <c r="M51" s="6">
        <v>8.6359729E7</v>
      </c>
      <c r="N51" s="6" t="s">
        <v>83</v>
      </c>
      <c r="O51" s="6" t="s">
        <v>32</v>
      </c>
      <c r="P51" s="7" t="s">
        <v>334</v>
      </c>
      <c r="Q51" s="5">
        <f t="shared" si="5"/>
        <v>6</v>
      </c>
      <c r="R51" s="5">
        <f t="shared" si="6"/>
        <v>11</v>
      </c>
      <c r="S51" s="6" t="s">
        <v>46</v>
      </c>
      <c r="T51" s="8" t="s">
        <v>35</v>
      </c>
      <c r="U51" s="6" t="s">
        <v>47</v>
      </c>
      <c r="V51" s="5" t="s">
        <v>48</v>
      </c>
      <c r="W51" s="9" t="s">
        <v>38</v>
      </c>
      <c r="X51" s="5" t="s">
        <v>38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8.0" customHeight="1">
      <c r="A52" s="11">
        <v>50.0</v>
      </c>
      <c r="B52" s="12" t="s">
        <v>335</v>
      </c>
      <c r="C52" s="13" t="s">
        <v>336</v>
      </c>
      <c r="D52" s="14" t="s">
        <v>26</v>
      </c>
      <c r="E52" s="16" t="s">
        <v>337</v>
      </c>
      <c r="F52" s="13">
        <f t="shared" si="1"/>
        <v>52</v>
      </c>
      <c r="G52" s="13">
        <f t="shared" si="2"/>
        <v>16</v>
      </c>
      <c r="H52" s="13">
        <f t="shared" si="3"/>
        <v>7</v>
      </c>
      <c r="I52" s="14" t="str">
        <f t="shared" si="4"/>
        <v>julio</v>
      </c>
      <c r="J52" s="14" t="s">
        <v>338</v>
      </c>
      <c r="K52" s="14" t="s">
        <v>53</v>
      </c>
      <c r="L52" s="14" t="s">
        <v>339</v>
      </c>
      <c r="M52" s="14">
        <v>3.3831188E7</v>
      </c>
      <c r="N52" s="14" t="s">
        <v>83</v>
      </c>
      <c r="O52" s="14" t="s">
        <v>32</v>
      </c>
      <c r="P52" s="16" t="s">
        <v>340</v>
      </c>
      <c r="Q52" s="13">
        <f t="shared" si="5"/>
        <v>6</v>
      </c>
      <c r="R52" s="13">
        <f t="shared" si="6"/>
        <v>1</v>
      </c>
      <c r="S52" s="14" t="s">
        <v>341</v>
      </c>
      <c r="T52" s="8" t="s">
        <v>35</v>
      </c>
      <c r="U52" s="14" t="s">
        <v>36</v>
      </c>
      <c r="V52" s="13" t="s">
        <v>37</v>
      </c>
      <c r="W52" s="17"/>
      <c r="X52" s="13" t="s">
        <v>38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</row>
    <row r="53" ht="18.0" customHeight="1">
      <c r="A53" s="3">
        <v>51.0</v>
      </c>
      <c r="B53" s="4" t="s">
        <v>342</v>
      </c>
      <c r="C53" s="5" t="s">
        <v>343</v>
      </c>
      <c r="D53" s="6" t="s">
        <v>41</v>
      </c>
      <c r="E53" s="7" t="s">
        <v>344</v>
      </c>
      <c r="F53" s="5">
        <f t="shared" si="1"/>
        <v>43</v>
      </c>
      <c r="G53" s="5">
        <f t="shared" si="2"/>
        <v>14</v>
      </c>
      <c r="H53" s="5">
        <f t="shared" si="3"/>
        <v>6</v>
      </c>
      <c r="I53" s="6" t="str">
        <f t="shared" si="4"/>
        <v>junio</v>
      </c>
      <c r="J53" s="6" t="s">
        <v>345</v>
      </c>
      <c r="K53" s="6" t="s">
        <v>29</v>
      </c>
      <c r="L53" s="6" t="s">
        <v>346</v>
      </c>
      <c r="M53" s="6">
        <v>6.2595684E7</v>
      </c>
      <c r="N53" s="6" t="s">
        <v>70</v>
      </c>
      <c r="O53" s="6" t="s">
        <v>32</v>
      </c>
      <c r="P53" s="7" t="s">
        <v>347</v>
      </c>
      <c r="Q53" s="5">
        <f t="shared" si="5"/>
        <v>19</v>
      </c>
      <c r="R53" s="5">
        <f t="shared" si="6"/>
        <v>7</v>
      </c>
      <c r="S53" s="6" t="s">
        <v>265</v>
      </c>
      <c r="T53" s="8" t="s">
        <v>35</v>
      </c>
      <c r="U53" s="6" t="s">
        <v>47</v>
      </c>
      <c r="V53" s="5" t="s">
        <v>48</v>
      </c>
      <c r="W53" s="9" t="s">
        <v>38</v>
      </c>
      <c r="X53" s="5" t="s">
        <v>38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8.0" customHeight="1">
      <c r="A54" s="11">
        <v>52.0</v>
      </c>
      <c r="B54" s="12" t="s">
        <v>348</v>
      </c>
      <c r="C54" s="13" t="s">
        <v>349</v>
      </c>
      <c r="D54" s="14" t="s">
        <v>26</v>
      </c>
      <c r="E54" s="16" t="s">
        <v>350</v>
      </c>
      <c r="F54" s="13">
        <f t="shared" si="1"/>
        <v>30</v>
      </c>
      <c r="G54" s="13">
        <f t="shared" si="2"/>
        <v>20</v>
      </c>
      <c r="H54" s="13">
        <f t="shared" si="3"/>
        <v>12</v>
      </c>
      <c r="I54" s="14" t="str">
        <f t="shared" si="4"/>
        <v>diciembre</v>
      </c>
      <c r="J54" s="14" t="s">
        <v>351</v>
      </c>
      <c r="K54" s="14" t="s">
        <v>53</v>
      </c>
      <c r="L54" s="14" t="s">
        <v>352</v>
      </c>
      <c r="M54" s="14">
        <v>7.8848028E7</v>
      </c>
      <c r="N54" s="14" t="s">
        <v>31</v>
      </c>
      <c r="O54" s="14" t="s">
        <v>32</v>
      </c>
      <c r="P54" s="16" t="s">
        <v>353</v>
      </c>
      <c r="Q54" s="13">
        <f t="shared" si="5"/>
        <v>5</v>
      </c>
      <c r="R54" s="13">
        <f t="shared" si="6"/>
        <v>6</v>
      </c>
      <c r="S54" s="14" t="s">
        <v>46</v>
      </c>
      <c r="T54" s="8" t="s">
        <v>35</v>
      </c>
      <c r="U54" s="14" t="s">
        <v>47</v>
      </c>
      <c r="V54" s="13" t="s">
        <v>48</v>
      </c>
      <c r="W54" s="9" t="s">
        <v>38</v>
      </c>
      <c r="X54" s="13" t="s">
        <v>38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</row>
    <row r="55" ht="18.0" customHeight="1">
      <c r="A55" s="3">
        <v>53.0</v>
      </c>
      <c r="B55" s="4" t="s">
        <v>354</v>
      </c>
      <c r="C55" s="5" t="s">
        <v>355</v>
      </c>
      <c r="D55" s="6" t="s">
        <v>26</v>
      </c>
      <c r="E55" s="7" t="s">
        <v>356</v>
      </c>
      <c r="F55" s="5">
        <f t="shared" si="1"/>
        <v>51</v>
      </c>
      <c r="G55" s="5">
        <f t="shared" si="2"/>
        <v>29</v>
      </c>
      <c r="H55" s="5">
        <f t="shared" si="3"/>
        <v>11</v>
      </c>
      <c r="I55" s="6" t="str">
        <f t="shared" si="4"/>
        <v>noviembre</v>
      </c>
      <c r="J55" s="6" t="s">
        <v>357</v>
      </c>
      <c r="K55" s="6" t="s">
        <v>68</v>
      </c>
      <c r="L55" s="6" t="s">
        <v>358</v>
      </c>
      <c r="M55" s="6">
        <v>9.7989634E7</v>
      </c>
      <c r="N55" s="6" t="s">
        <v>91</v>
      </c>
      <c r="O55" s="6" t="s">
        <v>32</v>
      </c>
      <c r="P55" s="7" t="s">
        <v>359</v>
      </c>
      <c r="Q55" s="5">
        <f t="shared" si="5"/>
        <v>8</v>
      </c>
      <c r="R55" s="5">
        <f t="shared" si="6"/>
        <v>2</v>
      </c>
      <c r="S55" s="6" t="s">
        <v>360</v>
      </c>
      <c r="T55" s="8" t="s">
        <v>35</v>
      </c>
      <c r="U55" s="6" t="s">
        <v>36</v>
      </c>
      <c r="V55" s="5" t="s">
        <v>37</v>
      </c>
      <c r="W55" s="9" t="s">
        <v>38</v>
      </c>
      <c r="X55" s="5" t="s">
        <v>38</v>
      </c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8.0" customHeight="1">
      <c r="A56" s="11">
        <v>54.0</v>
      </c>
      <c r="B56" s="12" t="s">
        <v>1121</v>
      </c>
      <c r="C56" s="13" t="s">
        <v>1122</v>
      </c>
      <c r="D56" s="14" t="s">
        <v>228</v>
      </c>
      <c r="E56" s="15">
        <v>28783.0</v>
      </c>
      <c r="F56" s="13">
        <f t="shared" si="1"/>
        <v>46</v>
      </c>
      <c r="G56" s="13">
        <f t="shared" si="2"/>
        <v>29</v>
      </c>
      <c r="H56" s="13">
        <f t="shared" si="3"/>
        <v>8</v>
      </c>
      <c r="I56" s="14" t="str">
        <f t="shared" si="4"/>
        <v>agosto</v>
      </c>
      <c r="J56" s="14" t="s">
        <v>1123</v>
      </c>
      <c r="K56" s="14" t="s">
        <v>68</v>
      </c>
      <c r="L56" s="14" t="s">
        <v>1124</v>
      </c>
      <c r="M56" s="14">
        <v>9.39631662E8</v>
      </c>
      <c r="N56" s="14" t="s">
        <v>70</v>
      </c>
      <c r="O56" s="14" t="s">
        <v>32</v>
      </c>
      <c r="P56" s="16" t="s">
        <v>1058</v>
      </c>
      <c r="Q56" s="13">
        <f t="shared" si="5"/>
        <v>11</v>
      </c>
      <c r="R56" s="13">
        <f t="shared" si="6"/>
        <v>0</v>
      </c>
      <c r="S56" s="14" t="s">
        <v>46</v>
      </c>
      <c r="T56" s="36" t="s">
        <v>1059</v>
      </c>
      <c r="U56" s="14" t="s">
        <v>47</v>
      </c>
      <c r="V56" s="13" t="s">
        <v>48</v>
      </c>
      <c r="W56" s="26"/>
      <c r="X56" s="2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8.0" customHeight="1">
      <c r="A57" s="3">
        <v>55.0</v>
      </c>
      <c r="B57" s="4" t="s">
        <v>361</v>
      </c>
      <c r="C57" s="5" t="s">
        <v>362</v>
      </c>
      <c r="D57" s="6" t="s">
        <v>26</v>
      </c>
      <c r="E57" s="7" t="s">
        <v>363</v>
      </c>
      <c r="F57" s="5">
        <f t="shared" si="1"/>
        <v>47</v>
      </c>
      <c r="G57" s="5">
        <f t="shared" si="2"/>
        <v>20</v>
      </c>
      <c r="H57" s="5">
        <f t="shared" si="3"/>
        <v>10</v>
      </c>
      <c r="I57" s="6" t="str">
        <f t="shared" si="4"/>
        <v>octubre</v>
      </c>
      <c r="J57" s="6" t="s">
        <v>364</v>
      </c>
      <c r="K57" s="6" t="s">
        <v>131</v>
      </c>
      <c r="L57" s="6" t="s">
        <v>365</v>
      </c>
      <c r="M57" s="6">
        <v>6.8363957E7</v>
      </c>
      <c r="N57" s="6" t="s">
        <v>91</v>
      </c>
      <c r="O57" s="6" t="s">
        <v>32</v>
      </c>
      <c r="P57" s="7" t="s">
        <v>366</v>
      </c>
      <c r="Q57" s="5">
        <f t="shared" si="5"/>
        <v>0</v>
      </c>
      <c r="R57" s="5">
        <f t="shared" si="6"/>
        <v>8</v>
      </c>
      <c r="S57" s="6" t="s">
        <v>46</v>
      </c>
      <c r="T57" s="8" t="s">
        <v>35</v>
      </c>
      <c r="U57" s="6" t="s">
        <v>47</v>
      </c>
      <c r="V57" s="5" t="s">
        <v>48</v>
      </c>
      <c r="W57" s="24" t="s">
        <v>285</v>
      </c>
      <c r="X57" s="5" t="s">
        <v>38</v>
      </c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8.0" customHeight="1">
      <c r="A58" s="11">
        <v>56.0</v>
      </c>
      <c r="B58" s="12" t="s">
        <v>367</v>
      </c>
      <c r="C58" s="13" t="s">
        <v>368</v>
      </c>
      <c r="D58" s="14" t="s">
        <v>26</v>
      </c>
      <c r="E58" s="16" t="s">
        <v>369</v>
      </c>
      <c r="F58" s="13">
        <f t="shared" si="1"/>
        <v>47</v>
      </c>
      <c r="G58" s="13">
        <f t="shared" si="2"/>
        <v>2</v>
      </c>
      <c r="H58" s="13">
        <f t="shared" si="3"/>
        <v>7</v>
      </c>
      <c r="I58" s="14" t="str">
        <f t="shared" si="4"/>
        <v>julio</v>
      </c>
      <c r="J58" s="14" t="s">
        <v>370</v>
      </c>
      <c r="K58" s="14" t="s">
        <v>53</v>
      </c>
      <c r="L58" s="14" t="s">
        <v>371</v>
      </c>
      <c r="M58" s="14">
        <v>9.4165102E7</v>
      </c>
      <c r="N58" s="14" t="s">
        <v>61</v>
      </c>
      <c r="O58" s="14" t="s">
        <v>32</v>
      </c>
      <c r="P58" s="16" t="s">
        <v>372</v>
      </c>
      <c r="Q58" s="13">
        <f t="shared" si="5"/>
        <v>9</v>
      </c>
      <c r="R58" s="13">
        <f t="shared" si="6"/>
        <v>8</v>
      </c>
      <c r="S58" s="14" t="s">
        <v>46</v>
      </c>
      <c r="T58" s="8" t="s">
        <v>35</v>
      </c>
      <c r="U58" s="14" t="s">
        <v>36</v>
      </c>
      <c r="V58" s="13" t="s">
        <v>37</v>
      </c>
      <c r="W58" s="9" t="s">
        <v>38</v>
      </c>
      <c r="X58" s="13" t="s">
        <v>38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ht="18.0" customHeight="1">
      <c r="A59" s="3">
        <v>57.0</v>
      </c>
      <c r="B59" s="4" t="s">
        <v>1125</v>
      </c>
      <c r="C59" s="5" t="s">
        <v>1126</v>
      </c>
      <c r="D59" s="6" t="s">
        <v>228</v>
      </c>
      <c r="E59" s="44">
        <v>31065.0</v>
      </c>
      <c r="F59" s="5">
        <f t="shared" si="1"/>
        <v>60</v>
      </c>
      <c r="G59" s="5">
        <f t="shared" si="2"/>
        <v>6</v>
      </c>
      <c r="H59" s="5">
        <f t="shared" si="3"/>
        <v>9</v>
      </c>
      <c r="I59" s="6" t="str">
        <f t="shared" si="4"/>
        <v>septiembre</v>
      </c>
      <c r="J59" s="6" t="s">
        <v>1127</v>
      </c>
      <c r="K59" s="6" t="s">
        <v>89</v>
      </c>
      <c r="L59" s="6" t="s">
        <v>1128</v>
      </c>
      <c r="M59" s="6">
        <v>9.5215792E8</v>
      </c>
      <c r="N59" s="6" t="s">
        <v>83</v>
      </c>
      <c r="O59" s="6" t="s">
        <v>1129</v>
      </c>
      <c r="P59" s="7" t="s">
        <v>1112</v>
      </c>
      <c r="Q59" s="5">
        <f t="shared" si="5"/>
        <v>15</v>
      </c>
      <c r="R59" s="5">
        <f t="shared" si="6"/>
        <v>5</v>
      </c>
      <c r="S59" s="6" t="s">
        <v>64</v>
      </c>
      <c r="T59" s="36" t="s">
        <v>1059</v>
      </c>
      <c r="U59" s="6" t="s">
        <v>47</v>
      </c>
      <c r="V59" s="5" t="s">
        <v>48</v>
      </c>
      <c r="W59" s="28"/>
      <c r="X59" s="28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</row>
    <row r="60" ht="18.0" customHeight="1">
      <c r="A60" s="11">
        <v>58.0</v>
      </c>
      <c r="B60" s="12" t="s">
        <v>373</v>
      </c>
      <c r="C60" s="13" t="s">
        <v>374</v>
      </c>
      <c r="D60" s="14" t="s">
        <v>41</v>
      </c>
      <c r="E60" s="16" t="s">
        <v>375</v>
      </c>
      <c r="F60" s="13">
        <f t="shared" si="1"/>
        <v>41</v>
      </c>
      <c r="G60" s="13">
        <f t="shared" si="2"/>
        <v>18</v>
      </c>
      <c r="H60" s="13">
        <f t="shared" si="3"/>
        <v>1</v>
      </c>
      <c r="I60" s="14" t="str">
        <f t="shared" si="4"/>
        <v>enero</v>
      </c>
      <c r="J60" s="14" t="s">
        <v>376</v>
      </c>
      <c r="K60" s="14" t="s">
        <v>29</v>
      </c>
      <c r="L60" s="14" t="s">
        <v>377</v>
      </c>
      <c r="M60" s="14">
        <v>3.5741033E7</v>
      </c>
      <c r="N60" s="14" t="s">
        <v>125</v>
      </c>
      <c r="O60" s="14" t="s">
        <v>32</v>
      </c>
      <c r="P60" s="16" t="s">
        <v>378</v>
      </c>
      <c r="Q60" s="13">
        <f t="shared" si="5"/>
        <v>0</v>
      </c>
      <c r="R60" s="13">
        <f t="shared" si="6"/>
        <v>7</v>
      </c>
      <c r="S60" s="14" t="s">
        <v>284</v>
      </c>
      <c r="T60" s="8" t="s">
        <v>35</v>
      </c>
      <c r="U60" s="14" t="s">
        <v>47</v>
      </c>
      <c r="V60" s="13" t="s">
        <v>48</v>
      </c>
      <c r="W60" s="9" t="s">
        <v>38</v>
      </c>
      <c r="X60" s="13" t="s">
        <v>38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</row>
    <row r="61" ht="18.0" customHeight="1">
      <c r="A61" s="3">
        <v>59.0</v>
      </c>
      <c r="B61" s="4" t="s">
        <v>1038</v>
      </c>
      <c r="C61" s="5" t="s">
        <v>1039</v>
      </c>
      <c r="D61" s="6" t="s">
        <v>26</v>
      </c>
      <c r="E61" s="7" t="s">
        <v>1040</v>
      </c>
      <c r="F61" s="5">
        <f t="shared" si="1"/>
        <v>23</v>
      </c>
      <c r="G61" s="5">
        <f t="shared" si="2"/>
        <v>14</v>
      </c>
      <c r="H61" s="5">
        <f t="shared" si="3"/>
        <v>11</v>
      </c>
      <c r="I61" s="6" t="str">
        <f t="shared" si="4"/>
        <v>noviembre</v>
      </c>
      <c r="J61" s="6" t="s">
        <v>1041</v>
      </c>
      <c r="K61" s="6" t="s">
        <v>29</v>
      </c>
      <c r="L61" s="6" t="s">
        <v>1042</v>
      </c>
      <c r="M61" s="6">
        <v>9.0336064E7</v>
      </c>
      <c r="N61" s="6" t="s">
        <v>83</v>
      </c>
      <c r="O61" s="6" t="s">
        <v>32</v>
      </c>
      <c r="P61" s="7" t="s">
        <v>1043</v>
      </c>
      <c r="Q61" s="5">
        <f t="shared" si="5"/>
        <v>5</v>
      </c>
      <c r="R61" s="5">
        <f t="shared" si="6"/>
        <v>2</v>
      </c>
      <c r="S61" s="6" t="s">
        <v>225</v>
      </c>
      <c r="T61" s="8" t="s">
        <v>35</v>
      </c>
      <c r="U61" s="6" t="s">
        <v>47</v>
      </c>
      <c r="V61" s="5" t="s">
        <v>48</v>
      </c>
      <c r="W61" s="9" t="s">
        <v>38</v>
      </c>
      <c r="X61" s="5" t="s">
        <v>38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8.0" customHeight="1">
      <c r="A62" s="11">
        <v>60.0</v>
      </c>
      <c r="B62" s="12" t="s">
        <v>379</v>
      </c>
      <c r="C62" s="13" t="s">
        <v>380</v>
      </c>
      <c r="D62" s="14" t="s">
        <v>26</v>
      </c>
      <c r="E62" s="16" t="s">
        <v>381</v>
      </c>
      <c r="F62" s="13">
        <f t="shared" si="1"/>
        <v>39</v>
      </c>
      <c r="G62" s="13">
        <f t="shared" si="2"/>
        <v>3</v>
      </c>
      <c r="H62" s="13">
        <f t="shared" si="3"/>
        <v>11</v>
      </c>
      <c r="I62" s="14" t="str">
        <f t="shared" si="4"/>
        <v>noviembre</v>
      </c>
      <c r="J62" s="14" t="s">
        <v>382</v>
      </c>
      <c r="K62" s="14" t="s">
        <v>89</v>
      </c>
      <c r="L62" s="14" t="s">
        <v>383</v>
      </c>
      <c r="M62" s="14">
        <v>4.5532207E7</v>
      </c>
      <c r="N62" s="14" t="s">
        <v>31</v>
      </c>
      <c r="O62" s="14" t="s">
        <v>32</v>
      </c>
      <c r="P62" s="16" t="s">
        <v>384</v>
      </c>
      <c r="Q62" s="13">
        <f t="shared" si="5"/>
        <v>1</v>
      </c>
      <c r="R62" s="13">
        <f t="shared" si="6"/>
        <v>1</v>
      </c>
      <c r="S62" s="14" t="s">
        <v>46</v>
      </c>
      <c r="T62" s="8" t="s">
        <v>35</v>
      </c>
      <c r="U62" s="14" t="s">
        <v>47</v>
      </c>
      <c r="V62" s="13" t="s">
        <v>48</v>
      </c>
      <c r="W62" s="9" t="s">
        <v>38</v>
      </c>
      <c r="X62" s="13" t="s">
        <v>38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</row>
    <row r="63" ht="18.0" customHeight="1">
      <c r="A63" s="3">
        <v>61.0</v>
      </c>
      <c r="B63" s="4" t="s">
        <v>385</v>
      </c>
      <c r="C63" s="5" t="s">
        <v>386</v>
      </c>
      <c r="D63" s="6" t="s">
        <v>41</v>
      </c>
      <c r="E63" s="19">
        <v>27173.0</v>
      </c>
      <c r="F63" s="5">
        <f t="shared" si="1"/>
        <v>48</v>
      </c>
      <c r="G63" s="5">
        <f t="shared" si="2"/>
        <v>3</v>
      </c>
      <c r="H63" s="5">
        <f t="shared" si="3"/>
        <v>9</v>
      </c>
      <c r="I63" s="6" t="str">
        <f t="shared" si="4"/>
        <v>septiembre</v>
      </c>
      <c r="J63" s="6" t="s">
        <v>387</v>
      </c>
      <c r="K63" s="6" t="s">
        <v>388</v>
      </c>
      <c r="L63" s="6" t="s">
        <v>389</v>
      </c>
      <c r="M63" s="6">
        <v>9.36516944E8</v>
      </c>
      <c r="N63" s="6" t="s">
        <v>31</v>
      </c>
      <c r="O63" s="6" t="s">
        <v>32</v>
      </c>
      <c r="P63" s="7" t="s">
        <v>390</v>
      </c>
      <c r="Q63" s="5">
        <f t="shared" si="5"/>
        <v>8</v>
      </c>
      <c r="R63" s="5">
        <f t="shared" si="6"/>
        <v>5</v>
      </c>
      <c r="S63" s="6" t="s">
        <v>225</v>
      </c>
      <c r="T63" s="8" t="s">
        <v>35</v>
      </c>
      <c r="U63" s="6" t="s">
        <v>47</v>
      </c>
      <c r="V63" s="5" t="s">
        <v>48</v>
      </c>
      <c r="W63" s="9" t="s">
        <v>38</v>
      </c>
      <c r="X63" s="5" t="s">
        <v>38</v>
      </c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8.0" customHeight="1">
      <c r="A64" s="11">
        <v>62.0</v>
      </c>
      <c r="B64" s="12" t="s">
        <v>391</v>
      </c>
      <c r="C64" s="13" t="s">
        <v>392</v>
      </c>
      <c r="D64" s="14" t="s">
        <v>26</v>
      </c>
      <c r="E64" s="16" t="s">
        <v>393</v>
      </c>
      <c r="F64" s="13">
        <f t="shared" si="1"/>
        <v>51</v>
      </c>
      <c r="G64" s="13">
        <f t="shared" si="2"/>
        <v>24</v>
      </c>
      <c r="H64" s="13">
        <f t="shared" si="3"/>
        <v>5</v>
      </c>
      <c r="I64" s="14" t="str">
        <f t="shared" si="4"/>
        <v>mayo</v>
      </c>
      <c r="J64" s="14" t="s">
        <v>394</v>
      </c>
      <c r="K64" s="14" t="s">
        <v>68</v>
      </c>
      <c r="L64" s="14" t="s">
        <v>395</v>
      </c>
      <c r="M64" s="14">
        <v>7.8174033E7</v>
      </c>
      <c r="N64" s="14" t="s">
        <v>61</v>
      </c>
      <c r="O64" s="14" t="s">
        <v>32</v>
      </c>
      <c r="P64" s="16" t="s">
        <v>396</v>
      </c>
      <c r="Q64" s="13">
        <f t="shared" si="5"/>
        <v>4</v>
      </c>
      <c r="R64" s="13">
        <f t="shared" si="6"/>
        <v>1</v>
      </c>
      <c r="S64" s="14" t="s">
        <v>46</v>
      </c>
      <c r="T64" s="8" t="s">
        <v>35</v>
      </c>
      <c r="U64" s="14" t="s">
        <v>47</v>
      </c>
      <c r="V64" s="13" t="s">
        <v>48</v>
      </c>
      <c r="W64" s="9" t="s">
        <v>38</v>
      </c>
      <c r="X64" s="13" t="s">
        <v>38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</row>
    <row r="65" ht="18.0" customHeight="1">
      <c r="A65" s="3">
        <v>63.0</v>
      </c>
      <c r="B65" s="4" t="s">
        <v>1130</v>
      </c>
      <c r="C65" s="5" t="s">
        <v>1131</v>
      </c>
      <c r="D65" s="6" t="s">
        <v>26</v>
      </c>
      <c r="E65" s="7" t="s">
        <v>1132</v>
      </c>
      <c r="F65" s="5">
        <f t="shared" si="1"/>
        <v>50</v>
      </c>
      <c r="G65" s="5">
        <f t="shared" si="2"/>
        <v>5</v>
      </c>
      <c r="H65" s="5">
        <f t="shared" si="3"/>
        <v>8</v>
      </c>
      <c r="I65" s="6" t="str">
        <f t="shared" si="4"/>
        <v>agosto</v>
      </c>
      <c r="J65" s="6" t="s">
        <v>1133</v>
      </c>
      <c r="K65" s="6" t="s">
        <v>53</v>
      </c>
      <c r="L65" s="6" t="s">
        <v>1134</v>
      </c>
      <c r="M65" s="6">
        <v>7.7745052E7</v>
      </c>
      <c r="N65" s="6" t="s">
        <v>868</v>
      </c>
      <c r="O65" s="6" t="s">
        <v>100</v>
      </c>
      <c r="P65" s="7" t="s">
        <v>968</v>
      </c>
      <c r="Q65" s="5">
        <f t="shared" si="5"/>
        <v>14</v>
      </c>
      <c r="R65" s="5">
        <f t="shared" si="6"/>
        <v>1</v>
      </c>
      <c r="S65" s="6" t="s">
        <v>250</v>
      </c>
      <c r="T65" s="8" t="s">
        <v>35</v>
      </c>
      <c r="U65" s="6" t="s">
        <v>47</v>
      </c>
      <c r="V65" s="5" t="s">
        <v>48</v>
      </c>
      <c r="W65" s="10"/>
      <c r="X65" s="5" t="s">
        <v>38</v>
      </c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8.0" customHeight="1">
      <c r="A66" s="11">
        <v>64.0</v>
      </c>
      <c r="B66" s="12" t="s">
        <v>397</v>
      </c>
      <c r="C66" s="13" t="s">
        <v>398</v>
      </c>
      <c r="D66" s="14" t="s">
        <v>26</v>
      </c>
      <c r="E66" s="16" t="s">
        <v>399</v>
      </c>
      <c r="F66" s="13">
        <f t="shared" si="1"/>
        <v>44</v>
      </c>
      <c r="G66" s="13">
        <f t="shared" si="2"/>
        <v>22</v>
      </c>
      <c r="H66" s="13">
        <f t="shared" si="3"/>
        <v>10</v>
      </c>
      <c r="I66" s="14" t="str">
        <f t="shared" si="4"/>
        <v>octubre</v>
      </c>
      <c r="J66" s="14" t="s">
        <v>400</v>
      </c>
      <c r="K66" s="14" t="s">
        <v>53</v>
      </c>
      <c r="L66" s="14" t="s">
        <v>401</v>
      </c>
      <c r="M66" s="14">
        <v>9.99811E7</v>
      </c>
      <c r="N66" s="14" t="s">
        <v>91</v>
      </c>
      <c r="O66" s="14" t="s">
        <v>32</v>
      </c>
      <c r="P66" s="16" t="s">
        <v>402</v>
      </c>
      <c r="Q66" s="13">
        <f t="shared" si="5"/>
        <v>9</v>
      </c>
      <c r="R66" s="13">
        <f t="shared" si="6"/>
        <v>1</v>
      </c>
      <c r="S66" s="14" t="s">
        <v>46</v>
      </c>
      <c r="T66" s="8" t="s">
        <v>35</v>
      </c>
      <c r="U66" s="14" t="s">
        <v>36</v>
      </c>
      <c r="V66" s="13" t="s">
        <v>37</v>
      </c>
      <c r="W66" s="9" t="s">
        <v>38</v>
      </c>
      <c r="X66" s="13" t="s">
        <v>38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</row>
    <row r="67" ht="18.0" customHeight="1">
      <c r="A67" s="3">
        <v>65.0</v>
      </c>
      <c r="B67" s="4" t="s">
        <v>403</v>
      </c>
      <c r="C67" s="5" t="s">
        <v>404</v>
      </c>
      <c r="D67" s="6" t="s">
        <v>26</v>
      </c>
      <c r="E67" s="7" t="s">
        <v>405</v>
      </c>
      <c r="F67" s="5">
        <f t="shared" si="1"/>
        <v>59</v>
      </c>
      <c r="G67" s="5">
        <f t="shared" si="2"/>
        <v>23</v>
      </c>
      <c r="H67" s="5">
        <f t="shared" si="3"/>
        <v>12</v>
      </c>
      <c r="I67" s="6" t="str">
        <f t="shared" si="4"/>
        <v>diciembre</v>
      </c>
      <c r="J67" s="6" t="s">
        <v>406</v>
      </c>
      <c r="K67" s="6" t="s">
        <v>29</v>
      </c>
      <c r="L67" s="6" t="s">
        <v>407</v>
      </c>
      <c r="M67" s="6">
        <v>9.3336769E7</v>
      </c>
      <c r="N67" s="6" t="s">
        <v>249</v>
      </c>
      <c r="O67" s="6" t="s">
        <v>32</v>
      </c>
      <c r="P67" s="7" t="s">
        <v>408</v>
      </c>
      <c r="Q67" s="5">
        <f t="shared" si="5"/>
        <v>35</v>
      </c>
      <c r="R67" s="5">
        <f t="shared" si="6"/>
        <v>10</v>
      </c>
      <c r="S67" s="6" t="s">
        <v>409</v>
      </c>
      <c r="T67" s="8" t="s">
        <v>35</v>
      </c>
      <c r="U67" s="6" t="s">
        <v>47</v>
      </c>
      <c r="V67" s="5" t="s">
        <v>48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8.0" customHeight="1">
      <c r="A68" s="11">
        <v>66.0</v>
      </c>
      <c r="B68" s="12" t="s">
        <v>410</v>
      </c>
      <c r="C68" s="13" t="s">
        <v>411</v>
      </c>
      <c r="D68" s="14" t="s">
        <v>26</v>
      </c>
      <c r="E68" s="16" t="s">
        <v>412</v>
      </c>
      <c r="F68" s="13">
        <f t="shared" si="1"/>
        <v>57</v>
      </c>
      <c r="G68" s="13">
        <f t="shared" si="2"/>
        <v>7</v>
      </c>
      <c r="H68" s="13">
        <f t="shared" si="3"/>
        <v>3</v>
      </c>
      <c r="I68" s="14" t="str">
        <f t="shared" si="4"/>
        <v>marzo</v>
      </c>
      <c r="J68" s="14" t="s">
        <v>413</v>
      </c>
      <c r="K68" s="14" t="s">
        <v>123</v>
      </c>
      <c r="L68" s="14" t="s">
        <v>414</v>
      </c>
      <c r="M68" s="14">
        <v>7.9892152E7</v>
      </c>
      <c r="N68" s="14" t="s">
        <v>70</v>
      </c>
      <c r="O68" s="14" t="s">
        <v>32</v>
      </c>
      <c r="P68" s="16" t="s">
        <v>415</v>
      </c>
      <c r="Q68" s="13">
        <f t="shared" si="5"/>
        <v>9</v>
      </c>
      <c r="R68" s="13">
        <f t="shared" si="6"/>
        <v>3</v>
      </c>
      <c r="S68" s="14" t="s">
        <v>64</v>
      </c>
      <c r="T68" s="8" t="s">
        <v>35</v>
      </c>
      <c r="U68" s="14" t="s">
        <v>47</v>
      </c>
      <c r="V68" s="13" t="s">
        <v>48</v>
      </c>
      <c r="W68" s="9" t="s">
        <v>38</v>
      </c>
      <c r="X68" s="13" t="s">
        <v>38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</row>
    <row r="69" ht="18.0" customHeight="1">
      <c r="A69" s="3">
        <v>67.0</v>
      </c>
      <c r="B69" s="4" t="s">
        <v>1089</v>
      </c>
      <c r="C69" s="5" t="s">
        <v>1090</v>
      </c>
      <c r="D69" s="6" t="s">
        <v>26</v>
      </c>
      <c r="E69" s="34">
        <v>34424.0</v>
      </c>
      <c r="F69" s="5">
        <f t="shared" si="1"/>
        <v>29</v>
      </c>
      <c r="G69" s="5">
        <f t="shared" si="2"/>
        <v>10</v>
      </c>
      <c r="H69" s="5">
        <f t="shared" si="3"/>
        <v>1</v>
      </c>
      <c r="I69" s="6" t="str">
        <f t="shared" si="4"/>
        <v>enero</v>
      </c>
      <c r="J69" s="6" t="s">
        <v>1135</v>
      </c>
      <c r="K69" s="6" t="s">
        <v>29</v>
      </c>
      <c r="L69" s="6" t="s">
        <v>1091</v>
      </c>
      <c r="M69" s="6">
        <v>9.46979618E8</v>
      </c>
      <c r="N69" s="6" t="s">
        <v>70</v>
      </c>
      <c r="O69" s="6" t="s">
        <v>32</v>
      </c>
      <c r="P69" s="7" t="s">
        <v>1088</v>
      </c>
      <c r="Q69" s="5">
        <f t="shared" si="5"/>
        <v>6</v>
      </c>
      <c r="R69" s="5">
        <f t="shared" si="6"/>
        <v>2</v>
      </c>
      <c r="S69" s="6" t="s">
        <v>250</v>
      </c>
      <c r="T69" s="36" t="s">
        <v>1059</v>
      </c>
      <c r="U69" s="6" t="s">
        <v>36</v>
      </c>
      <c r="V69" s="5" t="s">
        <v>37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8.0" customHeight="1">
      <c r="A70" s="11">
        <v>68.0</v>
      </c>
      <c r="B70" s="12" t="s">
        <v>416</v>
      </c>
      <c r="C70" s="13" t="s">
        <v>417</v>
      </c>
      <c r="D70" s="14" t="s">
        <v>26</v>
      </c>
      <c r="E70" s="25">
        <v>32433.0</v>
      </c>
      <c r="F70" s="13">
        <f t="shared" si="1"/>
        <v>32</v>
      </c>
      <c r="G70" s="13">
        <f t="shared" si="2"/>
        <v>31</v>
      </c>
      <c r="H70" s="13">
        <f t="shared" si="3"/>
        <v>3</v>
      </c>
      <c r="I70" s="14" t="str">
        <f t="shared" si="4"/>
        <v>marzo</v>
      </c>
      <c r="J70" s="14" t="s">
        <v>418</v>
      </c>
      <c r="K70" s="14" t="s">
        <v>29</v>
      </c>
      <c r="L70" s="21" t="s">
        <v>419</v>
      </c>
      <c r="M70" s="14">
        <v>9.84699306E8</v>
      </c>
      <c r="N70" s="14" t="s">
        <v>61</v>
      </c>
      <c r="O70" s="14" t="s">
        <v>32</v>
      </c>
      <c r="P70" s="16" t="s">
        <v>420</v>
      </c>
      <c r="Q70" s="13">
        <f t="shared" si="5"/>
        <v>0</v>
      </c>
      <c r="R70" s="13">
        <f t="shared" si="6"/>
        <v>5</v>
      </c>
      <c r="S70" s="14" t="s">
        <v>46</v>
      </c>
      <c r="T70" s="8" t="s">
        <v>35</v>
      </c>
      <c r="U70" s="14" t="s">
        <v>36</v>
      </c>
      <c r="V70" s="13" t="s">
        <v>37</v>
      </c>
      <c r="W70" s="9" t="s">
        <v>38</v>
      </c>
      <c r="X70" s="13" t="s">
        <v>38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</row>
    <row r="71" ht="18.0" customHeight="1">
      <c r="A71" s="3">
        <v>69.0</v>
      </c>
      <c r="B71" s="4" t="s">
        <v>421</v>
      </c>
      <c r="C71" s="5" t="s">
        <v>422</v>
      </c>
      <c r="D71" s="6" t="s">
        <v>26</v>
      </c>
      <c r="E71" s="7" t="s">
        <v>423</v>
      </c>
      <c r="F71" s="5">
        <f t="shared" si="1"/>
        <v>37</v>
      </c>
      <c r="G71" s="5">
        <f t="shared" si="2"/>
        <v>17</v>
      </c>
      <c r="H71" s="5">
        <f t="shared" si="3"/>
        <v>10</v>
      </c>
      <c r="I71" s="6" t="str">
        <f t="shared" si="4"/>
        <v>octubre</v>
      </c>
      <c r="J71" s="6" t="s">
        <v>424</v>
      </c>
      <c r="K71" s="6" t="s">
        <v>210</v>
      </c>
      <c r="L71" s="6" t="s">
        <v>425</v>
      </c>
      <c r="M71" s="6">
        <v>9.0007155E7</v>
      </c>
      <c r="N71" s="6" t="s">
        <v>70</v>
      </c>
      <c r="O71" s="6" t="s">
        <v>32</v>
      </c>
      <c r="P71" s="7" t="s">
        <v>426</v>
      </c>
      <c r="Q71" s="5">
        <f t="shared" si="5"/>
        <v>3</v>
      </c>
      <c r="R71" s="5">
        <f t="shared" si="6"/>
        <v>10</v>
      </c>
      <c r="S71" s="6" t="s">
        <v>250</v>
      </c>
      <c r="T71" s="8" t="s">
        <v>35</v>
      </c>
      <c r="U71" s="6" t="s">
        <v>47</v>
      </c>
      <c r="V71" s="5" t="s">
        <v>48</v>
      </c>
      <c r="W71" s="10"/>
      <c r="X71" s="5" t="s">
        <v>38</v>
      </c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8.0" customHeight="1">
      <c r="A72" s="11">
        <v>70.0</v>
      </c>
      <c r="B72" s="12" t="s">
        <v>427</v>
      </c>
      <c r="C72" s="13" t="s">
        <v>428</v>
      </c>
      <c r="D72" s="14" t="s">
        <v>26</v>
      </c>
      <c r="E72" s="16" t="s">
        <v>429</v>
      </c>
      <c r="F72" s="13">
        <f t="shared" si="1"/>
        <v>32</v>
      </c>
      <c r="G72" s="13">
        <f t="shared" si="2"/>
        <v>2</v>
      </c>
      <c r="H72" s="13">
        <f t="shared" si="3"/>
        <v>10</v>
      </c>
      <c r="I72" s="14" t="str">
        <f t="shared" si="4"/>
        <v>octubre</v>
      </c>
      <c r="J72" s="14" t="s">
        <v>430</v>
      </c>
      <c r="K72" s="14" t="s">
        <v>29</v>
      </c>
      <c r="L72" s="14" t="s">
        <v>431</v>
      </c>
      <c r="M72" s="14">
        <v>6.1242413E7</v>
      </c>
      <c r="N72" s="14" t="s">
        <v>31</v>
      </c>
      <c r="O72" s="14" t="s">
        <v>32</v>
      </c>
      <c r="P72" s="16" t="s">
        <v>432</v>
      </c>
      <c r="Q72" s="13">
        <f t="shared" si="5"/>
        <v>9</v>
      </c>
      <c r="R72" s="13">
        <f t="shared" si="6"/>
        <v>8</v>
      </c>
      <c r="S72" s="14" t="s">
        <v>94</v>
      </c>
      <c r="T72" s="8" t="s">
        <v>35</v>
      </c>
      <c r="U72" s="14" t="s">
        <v>47</v>
      </c>
      <c r="V72" s="13" t="s">
        <v>48</v>
      </c>
      <c r="W72" s="17"/>
      <c r="X72" s="13" t="s">
        <v>38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ht="18.0" customHeight="1">
      <c r="A73" s="3">
        <v>71.0</v>
      </c>
      <c r="B73" s="4" t="s">
        <v>433</v>
      </c>
      <c r="C73" s="5" t="s">
        <v>434</v>
      </c>
      <c r="D73" s="6" t="s">
        <v>26</v>
      </c>
      <c r="E73" s="19">
        <v>31215.0</v>
      </c>
      <c r="F73" s="5">
        <f t="shared" si="1"/>
        <v>30</v>
      </c>
      <c r="G73" s="5">
        <f t="shared" si="2"/>
        <v>11</v>
      </c>
      <c r="H73" s="5">
        <f t="shared" si="3"/>
        <v>12</v>
      </c>
      <c r="I73" s="6" t="str">
        <f t="shared" si="4"/>
        <v>diciembre</v>
      </c>
      <c r="J73" s="6" t="s">
        <v>435</v>
      </c>
      <c r="K73" s="6" t="s">
        <v>29</v>
      </c>
      <c r="L73" s="6" t="s">
        <v>436</v>
      </c>
      <c r="M73" s="6">
        <v>9.50950802E8</v>
      </c>
      <c r="N73" s="6" t="s">
        <v>83</v>
      </c>
      <c r="O73" s="6" t="s">
        <v>32</v>
      </c>
      <c r="P73" s="7" t="s">
        <v>437</v>
      </c>
      <c r="Q73" s="5">
        <f t="shared" si="5"/>
        <v>4</v>
      </c>
      <c r="R73" s="5">
        <f t="shared" si="6"/>
        <v>11</v>
      </c>
      <c r="S73" s="6" t="s">
        <v>46</v>
      </c>
      <c r="T73" s="8" t="s">
        <v>35</v>
      </c>
      <c r="U73" s="6" t="s">
        <v>36</v>
      </c>
      <c r="V73" s="5" t="s">
        <v>37</v>
      </c>
      <c r="W73" s="9" t="s">
        <v>38</v>
      </c>
      <c r="X73" s="5" t="s">
        <v>38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8.0" customHeight="1">
      <c r="A74" s="11">
        <v>72.0</v>
      </c>
      <c r="B74" s="12" t="s">
        <v>1026</v>
      </c>
      <c r="C74" s="13" t="s">
        <v>1027</v>
      </c>
      <c r="D74" s="14" t="s">
        <v>26</v>
      </c>
      <c r="E74" s="16" t="s">
        <v>865</v>
      </c>
      <c r="F74" s="13">
        <f t="shared" si="1"/>
        <v>40</v>
      </c>
      <c r="G74" s="13">
        <f t="shared" si="2"/>
        <v>17</v>
      </c>
      <c r="H74" s="13">
        <f t="shared" si="3"/>
        <v>6</v>
      </c>
      <c r="I74" s="14" t="str">
        <f t="shared" si="4"/>
        <v>junio</v>
      </c>
      <c r="J74" s="14" t="s">
        <v>1028</v>
      </c>
      <c r="K74" s="14" t="s">
        <v>131</v>
      </c>
      <c r="L74" s="14" t="s">
        <v>1029</v>
      </c>
      <c r="M74" s="14" t="s">
        <v>1030</v>
      </c>
      <c r="N74" s="14" t="s">
        <v>91</v>
      </c>
      <c r="O74" s="14" t="s">
        <v>32</v>
      </c>
      <c r="P74" s="16" t="s">
        <v>1031</v>
      </c>
      <c r="Q74" s="13">
        <f t="shared" si="5"/>
        <v>3</v>
      </c>
      <c r="R74" s="13">
        <f t="shared" si="6"/>
        <v>10</v>
      </c>
      <c r="S74" s="14" t="s">
        <v>225</v>
      </c>
      <c r="T74" s="8" t="s">
        <v>35</v>
      </c>
      <c r="U74" s="14" t="s">
        <v>47</v>
      </c>
      <c r="V74" s="13" t="s">
        <v>48</v>
      </c>
      <c r="W74" s="9" t="s">
        <v>38</v>
      </c>
      <c r="X74" s="13" t="s">
        <v>38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</row>
    <row r="75" ht="18.0" customHeight="1">
      <c r="A75" s="3">
        <v>73.0</v>
      </c>
      <c r="B75" s="4" t="s">
        <v>438</v>
      </c>
      <c r="C75" s="5" t="s">
        <v>439</v>
      </c>
      <c r="D75" s="6" t="s">
        <v>26</v>
      </c>
      <c r="E75" s="20">
        <v>27972.0</v>
      </c>
      <c r="F75" s="5">
        <f t="shared" si="1"/>
        <v>44</v>
      </c>
      <c r="G75" s="5">
        <f t="shared" si="2"/>
        <v>16</v>
      </c>
      <c r="H75" s="5">
        <f t="shared" si="3"/>
        <v>3</v>
      </c>
      <c r="I75" s="6" t="str">
        <f t="shared" si="4"/>
        <v>marzo</v>
      </c>
      <c r="J75" s="6" t="s">
        <v>440</v>
      </c>
      <c r="K75" s="6" t="s">
        <v>131</v>
      </c>
      <c r="L75" s="6" t="s">
        <v>441</v>
      </c>
      <c r="M75" s="6">
        <v>9.91244235E8</v>
      </c>
      <c r="N75" s="6" t="s">
        <v>249</v>
      </c>
      <c r="O75" s="6" t="s">
        <v>32</v>
      </c>
      <c r="P75" s="7" t="s">
        <v>63</v>
      </c>
      <c r="Q75" s="5">
        <f t="shared" si="5"/>
        <v>1</v>
      </c>
      <c r="R75" s="5">
        <f t="shared" si="6"/>
        <v>2</v>
      </c>
      <c r="S75" s="6" t="s">
        <v>46</v>
      </c>
      <c r="T75" s="8" t="s">
        <v>35</v>
      </c>
      <c r="U75" s="6" t="s">
        <v>47</v>
      </c>
      <c r="V75" s="5" t="s">
        <v>48</v>
      </c>
      <c r="W75" s="9" t="s">
        <v>38</v>
      </c>
      <c r="X75" s="5" t="s">
        <v>38</v>
      </c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8.0" customHeight="1">
      <c r="A76" s="11">
        <v>74.0</v>
      </c>
      <c r="B76" s="12" t="s">
        <v>442</v>
      </c>
      <c r="C76" s="13" t="s">
        <v>443</v>
      </c>
      <c r="D76" s="14" t="s">
        <v>26</v>
      </c>
      <c r="E76" s="16" t="s">
        <v>444</v>
      </c>
      <c r="F76" s="13">
        <f t="shared" si="1"/>
        <v>49</v>
      </c>
      <c r="G76" s="13">
        <f t="shared" si="2"/>
        <v>31</v>
      </c>
      <c r="H76" s="13">
        <f t="shared" si="3"/>
        <v>7</v>
      </c>
      <c r="I76" s="14" t="str">
        <f t="shared" si="4"/>
        <v>julio</v>
      </c>
      <c r="J76" s="14" t="s">
        <v>445</v>
      </c>
      <c r="K76" s="14" t="s">
        <v>53</v>
      </c>
      <c r="L76" s="14" t="s">
        <v>446</v>
      </c>
      <c r="M76" s="14">
        <v>8.4510466E7</v>
      </c>
      <c r="N76" s="14" t="s">
        <v>31</v>
      </c>
      <c r="O76" s="14" t="s">
        <v>32</v>
      </c>
      <c r="P76" s="16" t="s">
        <v>447</v>
      </c>
      <c r="Q76" s="13">
        <f t="shared" si="5"/>
        <v>1</v>
      </c>
      <c r="R76" s="13">
        <f t="shared" si="6"/>
        <v>9</v>
      </c>
      <c r="S76" s="14" t="s">
        <v>64</v>
      </c>
      <c r="T76" s="8" t="s">
        <v>35</v>
      </c>
      <c r="U76" s="14" t="s">
        <v>36</v>
      </c>
      <c r="V76" s="13" t="s">
        <v>37</v>
      </c>
      <c r="W76" s="24" t="s">
        <v>285</v>
      </c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</row>
    <row r="77" ht="18.0" customHeight="1">
      <c r="A77" s="3">
        <v>75.0</v>
      </c>
      <c r="B77" s="4" t="s">
        <v>448</v>
      </c>
      <c r="C77" s="5" t="s">
        <v>449</v>
      </c>
      <c r="D77" s="6" t="s">
        <v>26</v>
      </c>
      <c r="E77" s="20">
        <v>24235.0</v>
      </c>
      <c r="F77" s="5">
        <f t="shared" si="1"/>
        <v>34</v>
      </c>
      <c r="G77" s="5">
        <f t="shared" si="2"/>
        <v>22</v>
      </c>
      <c r="H77" s="5">
        <f t="shared" si="3"/>
        <v>5</v>
      </c>
      <c r="I77" s="6" t="str">
        <f t="shared" si="4"/>
        <v>mayo</v>
      </c>
      <c r="J77" s="6" t="s">
        <v>450</v>
      </c>
      <c r="K77" s="6" t="s">
        <v>29</v>
      </c>
      <c r="L77" s="6" t="s">
        <v>451</v>
      </c>
      <c r="M77" s="6">
        <v>9.81218337E8</v>
      </c>
      <c r="N77" s="6" t="s">
        <v>249</v>
      </c>
      <c r="O77" s="6" t="s">
        <v>62</v>
      </c>
      <c r="P77" s="7" t="s">
        <v>452</v>
      </c>
      <c r="Q77" s="5">
        <f t="shared" si="5"/>
        <v>12</v>
      </c>
      <c r="R77" s="5">
        <f t="shared" si="6"/>
        <v>10</v>
      </c>
      <c r="S77" s="6" t="s">
        <v>250</v>
      </c>
      <c r="T77" s="8" t="s">
        <v>35</v>
      </c>
      <c r="U77" s="6" t="s">
        <v>47</v>
      </c>
      <c r="V77" s="5" t="s">
        <v>48</v>
      </c>
      <c r="W77" s="10"/>
      <c r="X77" s="5" t="s">
        <v>38</v>
      </c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8.0" customHeight="1">
      <c r="A78" s="11">
        <v>76.0</v>
      </c>
      <c r="B78" s="12" t="s">
        <v>453</v>
      </c>
      <c r="C78" s="13" t="s">
        <v>454</v>
      </c>
      <c r="D78" s="14" t="s">
        <v>26</v>
      </c>
      <c r="E78" s="16" t="s">
        <v>455</v>
      </c>
      <c r="F78" s="13">
        <f t="shared" si="1"/>
        <v>60</v>
      </c>
      <c r="G78" s="13">
        <f t="shared" si="2"/>
        <v>8</v>
      </c>
      <c r="H78" s="13">
        <f t="shared" si="3"/>
        <v>5</v>
      </c>
      <c r="I78" s="14" t="str">
        <f t="shared" si="4"/>
        <v>mayo</v>
      </c>
      <c r="J78" s="14" t="s">
        <v>456</v>
      </c>
      <c r="K78" s="14" t="s">
        <v>68</v>
      </c>
      <c r="L78" s="14" t="s">
        <v>457</v>
      </c>
      <c r="M78" s="14">
        <v>7.5452207E7</v>
      </c>
      <c r="N78" s="14" t="s">
        <v>61</v>
      </c>
      <c r="O78" s="14" t="s">
        <v>32</v>
      </c>
      <c r="P78" s="16" t="s">
        <v>458</v>
      </c>
      <c r="Q78" s="13">
        <f t="shared" si="5"/>
        <v>2</v>
      </c>
      <c r="R78" s="13">
        <f t="shared" si="6"/>
        <v>1</v>
      </c>
      <c r="S78" s="14" t="s">
        <v>64</v>
      </c>
      <c r="T78" s="8" t="s">
        <v>35</v>
      </c>
      <c r="U78" s="14" t="s">
        <v>47</v>
      </c>
      <c r="V78" s="13" t="s">
        <v>48</v>
      </c>
      <c r="W78" s="9" t="s">
        <v>38</v>
      </c>
      <c r="X78" s="13" t="s">
        <v>38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</row>
    <row r="79" ht="18.0" customHeight="1">
      <c r="A79" s="3">
        <v>77.0</v>
      </c>
      <c r="B79" s="4" t="s">
        <v>459</v>
      </c>
      <c r="C79" s="5" t="s">
        <v>460</v>
      </c>
      <c r="D79" s="6" t="s">
        <v>26</v>
      </c>
      <c r="E79" s="7" t="s">
        <v>461</v>
      </c>
      <c r="F79" s="5">
        <f t="shared" si="1"/>
        <v>40</v>
      </c>
      <c r="G79" s="5">
        <f t="shared" si="2"/>
        <v>7</v>
      </c>
      <c r="H79" s="5">
        <f t="shared" si="3"/>
        <v>8</v>
      </c>
      <c r="I79" s="6" t="str">
        <f t="shared" si="4"/>
        <v>agosto</v>
      </c>
      <c r="J79" s="6" t="s">
        <v>462</v>
      </c>
      <c r="K79" s="6" t="s">
        <v>297</v>
      </c>
      <c r="L79" s="6" t="s">
        <v>463</v>
      </c>
      <c r="M79" s="6">
        <v>7.9874167E7</v>
      </c>
      <c r="N79" s="6" t="s">
        <v>83</v>
      </c>
      <c r="O79" s="6" t="s">
        <v>32</v>
      </c>
      <c r="P79" s="7" t="s">
        <v>464</v>
      </c>
      <c r="Q79" s="5">
        <f t="shared" si="5"/>
        <v>8</v>
      </c>
      <c r="R79" s="5">
        <f t="shared" si="6"/>
        <v>9</v>
      </c>
      <c r="S79" s="6" t="s">
        <v>465</v>
      </c>
      <c r="T79" s="8" t="s">
        <v>35</v>
      </c>
      <c r="U79" s="6" t="s">
        <v>36</v>
      </c>
      <c r="V79" s="5" t="s">
        <v>37</v>
      </c>
      <c r="W79" s="10"/>
      <c r="X79" s="5" t="s">
        <v>38</v>
      </c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8.0" customHeight="1">
      <c r="A80" s="11">
        <v>78.0</v>
      </c>
      <c r="B80" s="12" t="s">
        <v>1053</v>
      </c>
      <c r="C80" s="13" t="s">
        <v>1054</v>
      </c>
      <c r="D80" s="14" t="s">
        <v>26</v>
      </c>
      <c r="E80" s="35">
        <v>31950.0</v>
      </c>
      <c r="F80" s="13">
        <f t="shared" si="1"/>
        <v>50</v>
      </c>
      <c r="G80" s="13">
        <f t="shared" si="2"/>
        <v>5</v>
      </c>
      <c r="H80" s="13">
        <f t="shared" si="3"/>
        <v>12</v>
      </c>
      <c r="I80" s="14" t="str">
        <f t="shared" si="4"/>
        <v>diciembre</v>
      </c>
      <c r="J80" s="14" t="s">
        <v>1055</v>
      </c>
      <c r="K80" s="14" t="s">
        <v>1056</v>
      </c>
      <c r="L80" s="14" t="s">
        <v>1057</v>
      </c>
      <c r="M80" s="14">
        <v>9.77002808E8</v>
      </c>
      <c r="N80" s="14" t="s">
        <v>61</v>
      </c>
      <c r="O80" s="14" t="s">
        <v>32</v>
      </c>
      <c r="P80" s="16" t="s">
        <v>1058</v>
      </c>
      <c r="Q80" s="13">
        <f t="shared" si="5"/>
        <v>20</v>
      </c>
      <c r="R80" s="13">
        <f t="shared" si="6"/>
        <v>7</v>
      </c>
      <c r="S80" s="14" t="s">
        <v>46</v>
      </c>
      <c r="T80" s="36" t="s">
        <v>1059</v>
      </c>
      <c r="U80" s="14" t="s">
        <v>36</v>
      </c>
      <c r="V80" s="13" t="s">
        <v>37</v>
      </c>
      <c r="W80" s="24" t="s">
        <v>1060</v>
      </c>
      <c r="X80" s="13" t="s">
        <v>38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</row>
    <row r="81" ht="18.0" customHeight="1">
      <c r="A81" s="3">
        <v>79.0</v>
      </c>
      <c r="B81" s="4" t="s">
        <v>472</v>
      </c>
      <c r="C81" s="5" t="s">
        <v>473</v>
      </c>
      <c r="D81" s="6" t="s">
        <v>26</v>
      </c>
      <c r="E81" s="7" t="s">
        <v>474</v>
      </c>
      <c r="F81" s="5">
        <f t="shared" si="1"/>
        <v>38</v>
      </c>
      <c r="G81" s="5">
        <f t="shared" si="2"/>
        <v>22</v>
      </c>
      <c r="H81" s="5">
        <f t="shared" si="3"/>
        <v>6</v>
      </c>
      <c r="I81" s="6" t="str">
        <f t="shared" si="4"/>
        <v>junio</v>
      </c>
      <c r="J81" s="6" t="s">
        <v>475</v>
      </c>
      <c r="K81" s="6" t="s">
        <v>89</v>
      </c>
      <c r="L81" s="6" t="s">
        <v>476</v>
      </c>
      <c r="M81" s="6">
        <v>8.8959486E7</v>
      </c>
      <c r="N81" s="6" t="s">
        <v>91</v>
      </c>
      <c r="O81" s="6" t="s">
        <v>32</v>
      </c>
      <c r="P81" s="7" t="s">
        <v>477</v>
      </c>
      <c r="Q81" s="5">
        <f t="shared" si="5"/>
        <v>0</v>
      </c>
      <c r="R81" s="5">
        <f t="shared" si="6"/>
        <v>8</v>
      </c>
      <c r="S81" s="6" t="s">
        <v>265</v>
      </c>
      <c r="T81" s="8" t="s">
        <v>35</v>
      </c>
      <c r="U81" s="6" t="s">
        <v>36</v>
      </c>
      <c r="V81" s="5" t="s">
        <v>37</v>
      </c>
      <c r="W81" s="9" t="s">
        <v>38</v>
      </c>
      <c r="X81" s="5" t="s">
        <v>38</v>
      </c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8.0" customHeight="1">
      <c r="A82" s="11">
        <v>80.0</v>
      </c>
      <c r="B82" s="12" t="s">
        <v>466</v>
      </c>
      <c r="C82" s="13" t="s">
        <v>467</v>
      </c>
      <c r="D82" s="14" t="s">
        <v>26</v>
      </c>
      <c r="E82" s="16" t="s">
        <v>468</v>
      </c>
      <c r="F82" s="13">
        <f t="shared" si="1"/>
        <v>62</v>
      </c>
      <c r="G82" s="13">
        <f t="shared" si="2"/>
        <v>24</v>
      </c>
      <c r="H82" s="13">
        <f t="shared" si="3"/>
        <v>3</v>
      </c>
      <c r="I82" s="14" t="str">
        <f t="shared" si="4"/>
        <v>marzo</v>
      </c>
      <c r="J82" s="14" t="s">
        <v>469</v>
      </c>
      <c r="K82" s="14" t="s">
        <v>131</v>
      </c>
      <c r="L82" s="14" t="s">
        <v>470</v>
      </c>
      <c r="M82" s="14">
        <v>9.81828477E8</v>
      </c>
      <c r="N82" s="14" t="s">
        <v>125</v>
      </c>
      <c r="O82" s="14" t="s">
        <v>32</v>
      </c>
      <c r="P82" s="16" t="s">
        <v>471</v>
      </c>
      <c r="Q82" s="13">
        <f t="shared" si="5"/>
        <v>21</v>
      </c>
      <c r="R82" s="13">
        <f t="shared" si="6"/>
        <v>6</v>
      </c>
      <c r="S82" s="14" t="s">
        <v>292</v>
      </c>
      <c r="T82" s="8" t="s">
        <v>35</v>
      </c>
      <c r="U82" s="14" t="s">
        <v>36</v>
      </c>
      <c r="V82" s="13" t="s">
        <v>37</v>
      </c>
      <c r="W82" s="17"/>
      <c r="X82" s="13" t="s">
        <v>38</v>
      </c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</row>
    <row r="83" ht="18.0" customHeight="1">
      <c r="A83" s="3">
        <v>81.0</v>
      </c>
      <c r="B83" s="4" t="s">
        <v>478</v>
      </c>
      <c r="C83" s="5" t="s">
        <v>479</v>
      </c>
      <c r="D83" s="6" t="s">
        <v>26</v>
      </c>
      <c r="E83" s="7" t="s">
        <v>480</v>
      </c>
      <c r="F83" s="5">
        <f t="shared" si="1"/>
        <v>27</v>
      </c>
      <c r="G83" s="5">
        <f t="shared" si="2"/>
        <v>2</v>
      </c>
      <c r="H83" s="5">
        <f t="shared" si="3"/>
        <v>9</v>
      </c>
      <c r="I83" s="6" t="str">
        <f t="shared" si="4"/>
        <v>septiembre</v>
      </c>
      <c r="J83" s="6" t="s">
        <v>481</v>
      </c>
      <c r="K83" s="6" t="s">
        <v>29</v>
      </c>
      <c r="L83" s="6" t="s">
        <v>482</v>
      </c>
      <c r="M83" s="6">
        <v>9.63997283E8</v>
      </c>
      <c r="N83" s="6" t="s">
        <v>70</v>
      </c>
      <c r="O83" s="6" t="s">
        <v>32</v>
      </c>
      <c r="P83" s="7" t="s">
        <v>483</v>
      </c>
      <c r="Q83" s="5">
        <f t="shared" si="5"/>
        <v>0</v>
      </c>
      <c r="R83" s="5">
        <f t="shared" si="6"/>
        <v>10</v>
      </c>
      <c r="S83" s="6" t="s">
        <v>64</v>
      </c>
      <c r="T83" s="8" t="s">
        <v>35</v>
      </c>
      <c r="U83" s="6" t="s">
        <v>36</v>
      </c>
      <c r="V83" s="5" t="s">
        <v>37</v>
      </c>
      <c r="W83" s="9" t="s">
        <v>38</v>
      </c>
      <c r="X83" s="5" t="s">
        <v>38</v>
      </c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8.0" customHeight="1">
      <c r="A84" s="11">
        <v>82.0</v>
      </c>
      <c r="B84" s="12" t="s">
        <v>484</v>
      </c>
      <c r="C84" s="13" t="s">
        <v>485</v>
      </c>
      <c r="D84" s="14" t="s">
        <v>26</v>
      </c>
      <c r="E84" s="16" t="s">
        <v>486</v>
      </c>
      <c r="F84" s="13">
        <f t="shared" si="1"/>
        <v>29</v>
      </c>
      <c r="G84" s="13">
        <f t="shared" si="2"/>
        <v>10</v>
      </c>
      <c r="H84" s="13">
        <f t="shared" si="3"/>
        <v>12</v>
      </c>
      <c r="I84" s="14" t="str">
        <f t="shared" si="4"/>
        <v>diciembre</v>
      </c>
      <c r="J84" s="14" t="s">
        <v>487</v>
      </c>
      <c r="K84" s="14" t="s">
        <v>89</v>
      </c>
      <c r="L84" s="14" t="s">
        <v>488</v>
      </c>
      <c r="M84" s="14">
        <v>9.67773503E8</v>
      </c>
      <c r="N84" s="14" t="s">
        <v>91</v>
      </c>
      <c r="O84" s="14" t="s">
        <v>32</v>
      </c>
      <c r="P84" s="16" t="s">
        <v>489</v>
      </c>
      <c r="Q84" s="13">
        <f t="shared" si="5"/>
        <v>4</v>
      </c>
      <c r="R84" s="13">
        <f t="shared" si="6"/>
        <v>7</v>
      </c>
      <c r="S84" s="14" t="s">
        <v>225</v>
      </c>
      <c r="T84" s="8" t="s">
        <v>35</v>
      </c>
      <c r="U84" s="14" t="s">
        <v>47</v>
      </c>
      <c r="V84" s="13" t="s">
        <v>48</v>
      </c>
      <c r="W84" s="9" t="s">
        <v>38</v>
      </c>
      <c r="X84" s="13" t="s">
        <v>38</v>
      </c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</row>
    <row r="85" ht="18.0" customHeight="1">
      <c r="A85" s="3">
        <v>83.0</v>
      </c>
      <c r="B85" s="4" t="s">
        <v>490</v>
      </c>
      <c r="C85" s="5" t="s">
        <v>491</v>
      </c>
      <c r="D85" s="6" t="s">
        <v>26</v>
      </c>
      <c r="E85" s="7" t="s">
        <v>492</v>
      </c>
      <c r="F85" s="5">
        <f t="shared" si="1"/>
        <v>53</v>
      </c>
      <c r="G85" s="5">
        <f t="shared" si="2"/>
        <v>25</v>
      </c>
      <c r="H85" s="5">
        <f t="shared" si="3"/>
        <v>8</v>
      </c>
      <c r="I85" s="6" t="str">
        <f t="shared" si="4"/>
        <v>agosto</v>
      </c>
      <c r="J85" s="6" t="s">
        <v>493</v>
      </c>
      <c r="K85" s="6" t="s">
        <v>29</v>
      </c>
      <c r="L85" s="6" t="s">
        <v>494</v>
      </c>
      <c r="M85" s="6">
        <v>8.8959213E7</v>
      </c>
      <c r="N85" s="6" t="s">
        <v>91</v>
      </c>
      <c r="O85" s="6" t="s">
        <v>32</v>
      </c>
      <c r="P85" s="7" t="s">
        <v>495</v>
      </c>
      <c r="Q85" s="5">
        <f t="shared" si="5"/>
        <v>1</v>
      </c>
      <c r="R85" s="5">
        <f t="shared" si="6"/>
        <v>4</v>
      </c>
      <c r="S85" s="6" t="s">
        <v>265</v>
      </c>
      <c r="T85" s="8" t="s">
        <v>35</v>
      </c>
      <c r="U85" s="6" t="s">
        <v>36</v>
      </c>
      <c r="V85" s="5" t="s">
        <v>37</v>
      </c>
      <c r="W85" s="9" t="s">
        <v>38</v>
      </c>
      <c r="X85" s="5" t="s">
        <v>38</v>
      </c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8.0" customHeight="1">
      <c r="A86" s="11">
        <v>84.0</v>
      </c>
      <c r="B86" s="12" t="s">
        <v>496</v>
      </c>
      <c r="C86" s="13" t="s">
        <v>497</v>
      </c>
      <c r="D86" s="14" t="s">
        <v>26</v>
      </c>
      <c r="E86" s="18">
        <v>24176.0</v>
      </c>
      <c r="F86" s="13">
        <f t="shared" si="1"/>
        <v>60</v>
      </c>
      <c r="G86" s="13">
        <f t="shared" si="2"/>
        <v>30</v>
      </c>
      <c r="H86" s="13">
        <f t="shared" si="3"/>
        <v>6</v>
      </c>
      <c r="I86" s="14" t="str">
        <f t="shared" si="4"/>
        <v>junio</v>
      </c>
      <c r="J86" s="14" t="s">
        <v>498</v>
      </c>
      <c r="K86" s="14" t="s">
        <v>123</v>
      </c>
      <c r="L86" s="14" t="s">
        <v>499</v>
      </c>
      <c r="M86" s="14">
        <v>9.4422677E8</v>
      </c>
      <c r="N86" s="14" t="s">
        <v>61</v>
      </c>
      <c r="O86" s="14" t="s">
        <v>32</v>
      </c>
      <c r="P86" s="16" t="s">
        <v>500</v>
      </c>
      <c r="Q86" s="13">
        <f t="shared" si="5"/>
        <v>30</v>
      </c>
      <c r="R86" s="13">
        <f t="shared" si="6"/>
        <v>6</v>
      </c>
      <c r="S86" s="14" t="s">
        <v>225</v>
      </c>
      <c r="T86" s="8" t="s">
        <v>35</v>
      </c>
      <c r="U86" s="14" t="s">
        <v>47</v>
      </c>
      <c r="V86" s="13" t="s">
        <v>48</v>
      </c>
      <c r="W86" s="9" t="s">
        <v>38</v>
      </c>
      <c r="X86" s="13" t="s">
        <v>38</v>
      </c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</row>
    <row r="87" ht="18.0" customHeight="1">
      <c r="A87" s="3">
        <v>85.0</v>
      </c>
      <c r="B87" s="4" t="s">
        <v>1032</v>
      </c>
      <c r="C87" s="5" t="s">
        <v>1033</v>
      </c>
      <c r="D87" s="6" t="s">
        <v>26</v>
      </c>
      <c r="E87" s="7" t="s">
        <v>1034</v>
      </c>
      <c r="F87" s="5">
        <f t="shared" si="1"/>
        <v>60</v>
      </c>
      <c r="G87" s="5">
        <f t="shared" si="2"/>
        <v>10</v>
      </c>
      <c r="H87" s="5">
        <f t="shared" si="3"/>
        <v>3</v>
      </c>
      <c r="I87" s="6" t="str">
        <f t="shared" si="4"/>
        <v>marzo</v>
      </c>
      <c r="J87" s="6" t="s">
        <v>1035</v>
      </c>
      <c r="K87" s="6" t="s">
        <v>68</v>
      </c>
      <c r="L87" s="6" t="s">
        <v>1036</v>
      </c>
      <c r="M87" s="6">
        <v>9.6391809E7</v>
      </c>
      <c r="N87" s="6" t="s">
        <v>31</v>
      </c>
      <c r="O87" s="6" t="s">
        <v>32</v>
      </c>
      <c r="P87" s="7" t="s">
        <v>1037</v>
      </c>
      <c r="Q87" s="5">
        <f t="shared" si="5"/>
        <v>2</v>
      </c>
      <c r="R87" s="5">
        <f t="shared" si="6"/>
        <v>2</v>
      </c>
      <c r="S87" s="6" t="s">
        <v>225</v>
      </c>
      <c r="T87" s="8" t="s">
        <v>35</v>
      </c>
      <c r="U87" s="6" t="s">
        <v>47</v>
      </c>
      <c r="V87" s="5" t="s">
        <v>48</v>
      </c>
      <c r="W87" s="9" t="s">
        <v>38</v>
      </c>
      <c r="X87" s="5" t="s">
        <v>38</v>
      </c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8.0" customHeight="1">
      <c r="A88" s="11">
        <v>86.0</v>
      </c>
      <c r="B88" s="12" t="s">
        <v>501</v>
      </c>
      <c r="C88" s="13" t="s">
        <v>502</v>
      </c>
      <c r="D88" s="14" t="s">
        <v>26</v>
      </c>
      <c r="E88" s="18">
        <v>35450.0</v>
      </c>
      <c r="F88" s="13">
        <f t="shared" si="1"/>
        <v>36</v>
      </c>
      <c r="G88" s="13">
        <f t="shared" si="2"/>
        <v>2</v>
      </c>
      <c r="H88" s="13">
        <f t="shared" si="3"/>
        <v>2</v>
      </c>
      <c r="I88" s="14" t="str">
        <f t="shared" si="4"/>
        <v>febrero</v>
      </c>
      <c r="J88" s="14" t="s">
        <v>503</v>
      </c>
      <c r="K88" s="14" t="s">
        <v>504</v>
      </c>
      <c r="L88" s="14" t="s">
        <v>505</v>
      </c>
      <c r="M88" s="14">
        <v>9.37375799E8</v>
      </c>
      <c r="N88" s="14" t="s">
        <v>125</v>
      </c>
      <c r="O88" s="14" t="s">
        <v>32</v>
      </c>
      <c r="P88" s="16" t="s">
        <v>506</v>
      </c>
      <c r="Q88" s="13">
        <f t="shared" si="5"/>
        <v>1</v>
      </c>
      <c r="R88" s="13">
        <f t="shared" si="6"/>
        <v>2</v>
      </c>
      <c r="S88" s="14" t="s">
        <v>64</v>
      </c>
      <c r="T88" s="8" t="s">
        <v>35</v>
      </c>
      <c r="U88" s="14" t="s">
        <v>47</v>
      </c>
      <c r="V88" s="13" t="s">
        <v>48</v>
      </c>
      <c r="W88" s="9" t="s">
        <v>38</v>
      </c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</row>
    <row r="89" ht="18.0" customHeight="1">
      <c r="A89" s="3">
        <v>87.0</v>
      </c>
      <c r="B89" s="4" t="s">
        <v>507</v>
      </c>
      <c r="C89" s="5" t="s">
        <v>508</v>
      </c>
      <c r="D89" s="6" t="s">
        <v>26</v>
      </c>
      <c r="E89" s="20">
        <v>36099.0</v>
      </c>
      <c r="F89" s="5">
        <f t="shared" si="1"/>
        <v>29</v>
      </c>
      <c r="G89" s="5">
        <f t="shared" si="2"/>
        <v>20</v>
      </c>
      <c r="H89" s="5">
        <f t="shared" si="3"/>
        <v>1</v>
      </c>
      <c r="I89" s="6" t="str">
        <f t="shared" si="4"/>
        <v>enero</v>
      </c>
      <c r="J89" s="6" t="s">
        <v>509</v>
      </c>
      <c r="K89" s="6" t="s">
        <v>131</v>
      </c>
      <c r="L89" s="6" t="s">
        <v>510</v>
      </c>
      <c r="M89" s="6">
        <v>9.28336352E8</v>
      </c>
      <c r="N89" s="6" t="s">
        <v>125</v>
      </c>
      <c r="O89" s="6" t="s">
        <v>32</v>
      </c>
      <c r="P89" s="7" t="s">
        <v>126</v>
      </c>
      <c r="Q89" s="5">
        <f t="shared" si="5"/>
        <v>2</v>
      </c>
      <c r="R89" s="5">
        <f t="shared" si="6"/>
        <v>1</v>
      </c>
      <c r="S89" s="6" t="s">
        <v>46</v>
      </c>
      <c r="T89" s="8" t="s">
        <v>35</v>
      </c>
      <c r="U89" s="6" t="s">
        <v>47</v>
      </c>
      <c r="V89" s="5" t="s">
        <v>48</v>
      </c>
      <c r="W89" s="9" t="s">
        <v>511</v>
      </c>
      <c r="X89" s="5" t="s">
        <v>38</v>
      </c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8.0" customHeight="1">
      <c r="A90" s="11">
        <v>88.0</v>
      </c>
      <c r="B90" s="12" t="s">
        <v>512</v>
      </c>
      <c r="C90" s="13" t="s">
        <v>513</v>
      </c>
      <c r="D90" s="14" t="s">
        <v>26</v>
      </c>
      <c r="E90" s="18">
        <v>33897.0</v>
      </c>
      <c r="F90" s="13">
        <f t="shared" si="1"/>
        <v>27</v>
      </c>
      <c r="G90" s="13">
        <f t="shared" si="2"/>
        <v>31</v>
      </c>
      <c r="H90" s="13">
        <f t="shared" si="3"/>
        <v>10</v>
      </c>
      <c r="I90" s="14" t="str">
        <f t="shared" si="4"/>
        <v>octubre</v>
      </c>
      <c r="J90" s="14" t="s">
        <v>514</v>
      </c>
      <c r="K90" s="14" t="s">
        <v>131</v>
      </c>
      <c r="L90" s="14" t="s">
        <v>515</v>
      </c>
      <c r="M90" s="14">
        <v>9.44034869E8</v>
      </c>
      <c r="N90" s="14" t="s">
        <v>91</v>
      </c>
      <c r="O90" s="14" t="s">
        <v>100</v>
      </c>
      <c r="P90" s="16" t="s">
        <v>126</v>
      </c>
      <c r="Q90" s="13">
        <f t="shared" si="5"/>
        <v>1</v>
      </c>
      <c r="R90" s="13">
        <f t="shared" si="6"/>
        <v>8</v>
      </c>
      <c r="S90" s="14" t="s">
        <v>250</v>
      </c>
      <c r="T90" s="8" t="s">
        <v>35</v>
      </c>
      <c r="U90" s="14" t="s">
        <v>251</v>
      </c>
      <c r="V90" s="13" t="s">
        <v>48</v>
      </c>
      <c r="W90" s="17"/>
      <c r="X90" s="13" t="s">
        <v>38</v>
      </c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</row>
    <row r="91" ht="18.0" customHeight="1">
      <c r="A91" s="3">
        <v>89.0</v>
      </c>
      <c r="B91" s="4" t="s">
        <v>516</v>
      </c>
      <c r="C91" s="5" t="s">
        <v>517</v>
      </c>
      <c r="D91" s="6" t="s">
        <v>26</v>
      </c>
      <c r="E91" s="7" t="s">
        <v>518</v>
      </c>
      <c r="F91" s="5">
        <f t="shared" si="1"/>
        <v>33</v>
      </c>
      <c r="G91" s="5">
        <f t="shared" si="2"/>
        <v>20</v>
      </c>
      <c r="H91" s="5">
        <f t="shared" si="3"/>
        <v>10</v>
      </c>
      <c r="I91" s="6" t="str">
        <f t="shared" si="4"/>
        <v>octubre</v>
      </c>
      <c r="J91" s="6" t="s">
        <v>519</v>
      </c>
      <c r="K91" s="6" t="s">
        <v>53</v>
      </c>
      <c r="L91" s="6" t="s">
        <v>520</v>
      </c>
      <c r="M91" s="6">
        <v>9.0552436E7</v>
      </c>
      <c r="N91" s="6" t="s">
        <v>91</v>
      </c>
      <c r="O91" s="6" t="s">
        <v>32</v>
      </c>
      <c r="P91" s="7" t="s">
        <v>521</v>
      </c>
      <c r="Q91" s="5">
        <f t="shared" si="5"/>
        <v>1</v>
      </c>
      <c r="R91" s="5">
        <f t="shared" si="6"/>
        <v>8</v>
      </c>
      <c r="S91" s="6" t="s">
        <v>46</v>
      </c>
      <c r="T91" s="8" t="s">
        <v>35</v>
      </c>
      <c r="U91" s="6" t="s">
        <v>36</v>
      </c>
      <c r="V91" s="5" t="s">
        <v>37</v>
      </c>
      <c r="W91" s="9" t="s">
        <v>38</v>
      </c>
      <c r="X91" s="5" t="s">
        <v>38</v>
      </c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8.0" customHeight="1">
      <c r="A92" s="11">
        <v>90.0</v>
      </c>
      <c r="B92" s="12" t="s">
        <v>1084</v>
      </c>
      <c r="C92" s="13" t="s">
        <v>1085</v>
      </c>
      <c r="D92" s="14" t="s">
        <v>26</v>
      </c>
      <c r="E92" s="35">
        <v>32227.0</v>
      </c>
      <c r="F92" s="13">
        <f t="shared" si="1"/>
        <v>38</v>
      </c>
      <c r="G92" s="13">
        <f t="shared" si="2"/>
        <v>17</v>
      </c>
      <c r="H92" s="13">
        <f t="shared" si="3"/>
        <v>5</v>
      </c>
      <c r="I92" s="14" t="str">
        <f t="shared" si="4"/>
        <v>mayo</v>
      </c>
      <c r="J92" s="14" t="s">
        <v>1086</v>
      </c>
      <c r="K92" s="14" t="s">
        <v>53</v>
      </c>
      <c r="L92" s="14" t="s">
        <v>1087</v>
      </c>
      <c r="M92" s="14">
        <v>9.82375753E8</v>
      </c>
      <c r="N92" s="14" t="s">
        <v>249</v>
      </c>
      <c r="O92" s="14" t="s">
        <v>32</v>
      </c>
      <c r="P92" s="16" t="s">
        <v>1088</v>
      </c>
      <c r="Q92" s="13">
        <f t="shared" si="5"/>
        <v>7</v>
      </c>
      <c r="R92" s="13">
        <f t="shared" si="6"/>
        <v>0</v>
      </c>
      <c r="S92" s="14" t="s">
        <v>250</v>
      </c>
      <c r="T92" s="36" t="s">
        <v>1059</v>
      </c>
      <c r="U92" s="14" t="s">
        <v>36</v>
      </c>
      <c r="V92" s="13" t="s">
        <v>37</v>
      </c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ht="18.0" customHeight="1">
      <c r="A93" s="3">
        <v>91.0</v>
      </c>
      <c r="B93" s="4" t="s">
        <v>522</v>
      </c>
      <c r="C93" s="5" t="s">
        <v>523</v>
      </c>
      <c r="D93" s="6" t="s">
        <v>26</v>
      </c>
      <c r="E93" s="7" t="s">
        <v>524</v>
      </c>
      <c r="F93" s="5">
        <f t="shared" si="1"/>
        <v>38</v>
      </c>
      <c r="G93" s="5">
        <f t="shared" si="2"/>
        <v>25</v>
      </c>
      <c r="H93" s="5">
        <f t="shared" si="3"/>
        <v>3</v>
      </c>
      <c r="I93" s="6" t="str">
        <f t="shared" si="4"/>
        <v>marzo</v>
      </c>
      <c r="J93" s="6" t="s">
        <v>525</v>
      </c>
      <c r="K93" s="6" t="s">
        <v>68</v>
      </c>
      <c r="L93" s="6" t="s">
        <v>526</v>
      </c>
      <c r="M93" s="6">
        <v>9.3319555E7</v>
      </c>
      <c r="N93" s="6" t="s">
        <v>91</v>
      </c>
      <c r="O93" s="6" t="s">
        <v>32</v>
      </c>
      <c r="P93" s="7" t="s">
        <v>527</v>
      </c>
      <c r="Q93" s="5">
        <f t="shared" si="5"/>
        <v>0</v>
      </c>
      <c r="R93" s="5">
        <f t="shared" si="6"/>
        <v>5</v>
      </c>
      <c r="S93" s="6" t="s">
        <v>46</v>
      </c>
      <c r="T93" s="8" t="s">
        <v>35</v>
      </c>
      <c r="U93" s="6" t="s">
        <v>36</v>
      </c>
      <c r="V93" s="5" t="s">
        <v>37</v>
      </c>
      <c r="W93" s="9" t="s">
        <v>38</v>
      </c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8.0" customHeight="1">
      <c r="A94" s="11">
        <v>92.0</v>
      </c>
      <c r="B94" s="12" t="s">
        <v>528</v>
      </c>
      <c r="C94" s="13" t="s">
        <v>529</v>
      </c>
      <c r="D94" s="14" t="s">
        <v>26</v>
      </c>
      <c r="E94" s="18">
        <v>25277.0</v>
      </c>
      <c r="F94" s="13">
        <f t="shared" si="1"/>
        <v>56</v>
      </c>
      <c r="G94" s="13">
        <f t="shared" si="2"/>
        <v>22</v>
      </c>
      <c r="H94" s="13">
        <f t="shared" si="3"/>
        <v>11</v>
      </c>
      <c r="I94" s="14" t="str">
        <f t="shared" si="4"/>
        <v>noviembre</v>
      </c>
      <c r="J94" s="14" t="s">
        <v>530</v>
      </c>
      <c r="K94" s="14" t="s">
        <v>29</v>
      </c>
      <c r="L94" s="14" t="s">
        <v>531</v>
      </c>
      <c r="M94" s="14">
        <v>9.95715247E8</v>
      </c>
      <c r="N94" s="14" t="s">
        <v>91</v>
      </c>
      <c r="O94" s="14" t="s">
        <v>32</v>
      </c>
      <c r="P94" s="16" t="s">
        <v>532</v>
      </c>
      <c r="Q94" s="13">
        <f t="shared" si="5"/>
        <v>24</v>
      </c>
      <c r="R94" s="13">
        <f t="shared" si="6"/>
        <v>2</v>
      </c>
      <c r="S94" s="14" t="s">
        <v>360</v>
      </c>
      <c r="T94" s="8" t="s">
        <v>35</v>
      </c>
      <c r="U94" s="14" t="s">
        <v>47</v>
      </c>
      <c r="V94" s="13" t="s">
        <v>48</v>
      </c>
      <c r="W94" s="9" t="s">
        <v>38</v>
      </c>
      <c r="X94" s="13" t="s">
        <v>38</v>
      </c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</row>
    <row r="95" ht="18.0" customHeight="1">
      <c r="A95" s="3">
        <v>93.0</v>
      </c>
      <c r="B95" s="4" t="s">
        <v>533</v>
      </c>
      <c r="C95" s="5" t="s">
        <v>534</v>
      </c>
      <c r="D95" s="6" t="s">
        <v>26</v>
      </c>
      <c r="E95" s="7" t="s">
        <v>535</v>
      </c>
      <c r="F95" s="5">
        <f t="shared" si="1"/>
        <v>57</v>
      </c>
      <c r="G95" s="5">
        <f t="shared" si="2"/>
        <v>15</v>
      </c>
      <c r="H95" s="5">
        <f t="shared" si="3"/>
        <v>3</v>
      </c>
      <c r="I95" s="6" t="str">
        <f t="shared" si="4"/>
        <v>marzo</v>
      </c>
      <c r="J95" s="6" t="s">
        <v>536</v>
      </c>
      <c r="K95" s="6" t="s">
        <v>89</v>
      </c>
      <c r="L95" s="23" t="s">
        <v>537</v>
      </c>
      <c r="M95" s="6">
        <v>8.9204988E7</v>
      </c>
      <c r="N95" s="6" t="s">
        <v>91</v>
      </c>
      <c r="O95" s="6" t="s">
        <v>151</v>
      </c>
      <c r="P95" s="7" t="s">
        <v>538</v>
      </c>
      <c r="Q95" s="5">
        <f t="shared" si="5"/>
        <v>2</v>
      </c>
      <c r="R95" s="5">
        <f t="shared" si="6"/>
        <v>1</v>
      </c>
      <c r="S95" s="6" t="s">
        <v>292</v>
      </c>
      <c r="T95" s="8" t="s">
        <v>35</v>
      </c>
      <c r="U95" s="6" t="s">
        <v>36</v>
      </c>
      <c r="V95" s="5" t="s">
        <v>37</v>
      </c>
      <c r="W95" s="10"/>
      <c r="X95" s="5" t="s">
        <v>38</v>
      </c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8.0" customHeight="1">
      <c r="A96" s="11">
        <v>94.0</v>
      </c>
      <c r="B96" s="12" t="s">
        <v>539</v>
      </c>
      <c r="C96" s="13" t="s">
        <v>540</v>
      </c>
      <c r="D96" s="14" t="s">
        <v>26</v>
      </c>
      <c r="E96" s="16" t="s">
        <v>541</v>
      </c>
      <c r="F96" s="13">
        <f t="shared" si="1"/>
        <v>67</v>
      </c>
      <c r="G96" s="13">
        <f t="shared" si="2"/>
        <v>15</v>
      </c>
      <c r="H96" s="13">
        <f t="shared" si="3"/>
        <v>4</v>
      </c>
      <c r="I96" s="14" t="str">
        <f t="shared" si="4"/>
        <v>abril</v>
      </c>
      <c r="J96" s="14" t="s">
        <v>542</v>
      </c>
      <c r="K96" s="14" t="s">
        <v>29</v>
      </c>
      <c r="L96" s="14" t="s">
        <v>543</v>
      </c>
      <c r="M96" s="14">
        <v>8.7998531E7</v>
      </c>
      <c r="N96" s="14" t="s">
        <v>31</v>
      </c>
      <c r="O96" s="14" t="s">
        <v>32</v>
      </c>
      <c r="P96" s="16" t="s">
        <v>544</v>
      </c>
      <c r="Q96" s="13">
        <f t="shared" si="5"/>
        <v>20</v>
      </c>
      <c r="R96" s="13">
        <f t="shared" si="6"/>
        <v>6</v>
      </c>
      <c r="S96" s="14" t="s">
        <v>292</v>
      </c>
      <c r="T96" s="8" t="s">
        <v>35</v>
      </c>
      <c r="U96" s="14" t="s">
        <v>36</v>
      </c>
      <c r="V96" s="13" t="s">
        <v>37</v>
      </c>
      <c r="W96" s="17"/>
      <c r="X96" s="13" t="s">
        <v>38</v>
      </c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</row>
    <row r="97" ht="18.0" customHeight="1">
      <c r="A97" s="3">
        <v>95.0</v>
      </c>
      <c r="B97" s="4" t="s">
        <v>545</v>
      </c>
      <c r="C97" s="5" t="s">
        <v>546</v>
      </c>
      <c r="D97" s="6" t="s">
        <v>26</v>
      </c>
      <c r="E97" s="7" t="s">
        <v>547</v>
      </c>
      <c r="F97" s="5">
        <f t="shared" si="1"/>
        <v>62</v>
      </c>
      <c r="G97" s="5">
        <f t="shared" si="2"/>
        <v>22</v>
      </c>
      <c r="H97" s="5">
        <f t="shared" si="3"/>
        <v>3</v>
      </c>
      <c r="I97" s="6" t="str">
        <f t="shared" si="4"/>
        <v>marzo</v>
      </c>
      <c r="J97" s="6" t="s">
        <v>370</v>
      </c>
      <c r="K97" s="6" t="s">
        <v>53</v>
      </c>
      <c r="L97" s="6" t="s">
        <v>548</v>
      </c>
      <c r="M97" s="6">
        <v>6.8473667E7</v>
      </c>
      <c r="N97" s="6" t="s">
        <v>83</v>
      </c>
      <c r="O97" s="6" t="s">
        <v>32</v>
      </c>
      <c r="P97" s="7" t="s">
        <v>549</v>
      </c>
      <c r="Q97" s="5">
        <f t="shared" si="5"/>
        <v>12</v>
      </c>
      <c r="R97" s="5">
        <f t="shared" si="6"/>
        <v>9</v>
      </c>
      <c r="S97" s="6" t="s">
        <v>550</v>
      </c>
      <c r="T97" s="8" t="s">
        <v>35</v>
      </c>
      <c r="U97" s="6" t="s">
        <v>36</v>
      </c>
      <c r="V97" s="5" t="s">
        <v>37</v>
      </c>
      <c r="W97" s="10"/>
      <c r="X97" s="5" t="s">
        <v>38</v>
      </c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8.0" customHeight="1">
      <c r="A98" s="11">
        <v>96.0</v>
      </c>
      <c r="B98" s="12" t="s">
        <v>551</v>
      </c>
      <c r="C98" s="13" t="s">
        <v>552</v>
      </c>
      <c r="D98" s="14" t="s">
        <v>26</v>
      </c>
      <c r="E98" s="16" t="s">
        <v>553</v>
      </c>
      <c r="F98" s="13">
        <f t="shared" si="1"/>
        <v>58</v>
      </c>
      <c r="G98" s="13">
        <f t="shared" si="2"/>
        <v>21</v>
      </c>
      <c r="H98" s="13">
        <f t="shared" si="3"/>
        <v>2</v>
      </c>
      <c r="I98" s="14" t="str">
        <f t="shared" si="4"/>
        <v>febrero</v>
      </c>
      <c r="J98" s="14" t="s">
        <v>554</v>
      </c>
      <c r="K98" s="14" t="s">
        <v>123</v>
      </c>
      <c r="L98" s="14" t="s">
        <v>555</v>
      </c>
      <c r="M98" s="14">
        <v>9.979603E8</v>
      </c>
      <c r="N98" s="14" t="s">
        <v>61</v>
      </c>
      <c r="O98" s="14" t="s">
        <v>32</v>
      </c>
      <c r="P98" s="16" t="s">
        <v>556</v>
      </c>
      <c r="Q98" s="13">
        <f t="shared" si="5"/>
        <v>19</v>
      </c>
      <c r="R98" s="13">
        <f t="shared" si="6"/>
        <v>10</v>
      </c>
      <c r="S98" s="14" t="s">
        <v>46</v>
      </c>
      <c r="T98" s="8" t="s">
        <v>35</v>
      </c>
      <c r="U98" s="14" t="s">
        <v>36</v>
      </c>
      <c r="V98" s="13" t="s">
        <v>37</v>
      </c>
      <c r="W98" s="9" t="s">
        <v>38</v>
      </c>
      <c r="X98" s="13" t="s">
        <v>38</v>
      </c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</row>
    <row r="99" ht="18.0" customHeight="1">
      <c r="A99" s="3">
        <v>97.0</v>
      </c>
      <c r="B99" s="4" t="s">
        <v>557</v>
      </c>
      <c r="C99" s="5" t="s">
        <v>558</v>
      </c>
      <c r="D99" s="6" t="s">
        <v>26</v>
      </c>
      <c r="E99" s="7" t="s">
        <v>559</v>
      </c>
      <c r="F99" s="5">
        <f t="shared" si="1"/>
        <v>45</v>
      </c>
      <c r="G99" s="5">
        <f t="shared" si="2"/>
        <v>1</v>
      </c>
      <c r="H99" s="5">
        <f t="shared" si="3"/>
        <v>5</v>
      </c>
      <c r="I99" s="6" t="str">
        <f t="shared" si="4"/>
        <v>mayo</v>
      </c>
      <c r="J99" s="6" t="s">
        <v>560</v>
      </c>
      <c r="K99" s="6" t="s">
        <v>43</v>
      </c>
      <c r="L99" s="6" t="s">
        <v>561</v>
      </c>
      <c r="M99" s="6">
        <v>3.3720664E7</v>
      </c>
      <c r="N99" s="6" t="s">
        <v>61</v>
      </c>
      <c r="O99" s="6" t="s">
        <v>32</v>
      </c>
      <c r="P99" s="7" t="s">
        <v>562</v>
      </c>
      <c r="Q99" s="5">
        <f t="shared" si="5"/>
        <v>4</v>
      </c>
      <c r="R99" s="5">
        <f t="shared" si="6"/>
        <v>5</v>
      </c>
      <c r="S99" s="6" t="s">
        <v>64</v>
      </c>
      <c r="T99" s="8" t="s">
        <v>35</v>
      </c>
      <c r="U99" s="6" t="s">
        <v>47</v>
      </c>
      <c r="V99" s="5" t="s">
        <v>48</v>
      </c>
      <c r="W99" s="24" t="s">
        <v>285</v>
      </c>
      <c r="X99" s="5" t="s">
        <v>38</v>
      </c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8.0" customHeight="1">
      <c r="A100" s="11">
        <v>98.0</v>
      </c>
      <c r="B100" s="12" t="s">
        <v>563</v>
      </c>
      <c r="C100" s="13" t="s">
        <v>564</v>
      </c>
      <c r="D100" s="14" t="s">
        <v>26</v>
      </c>
      <c r="E100" s="18">
        <v>37181.0</v>
      </c>
      <c r="F100" s="13">
        <f t="shared" si="1"/>
        <v>38</v>
      </c>
      <c r="G100" s="13">
        <f t="shared" si="2"/>
        <v>17</v>
      </c>
      <c r="H100" s="13">
        <f t="shared" si="3"/>
        <v>3</v>
      </c>
      <c r="I100" s="14" t="str">
        <f t="shared" si="4"/>
        <v>marzo</v>
      </c>
      <c r="J100" s="14" t="s">
        <v>565</v>
      </c>
      <c r="K100" s="14" t="s">
        <v>29</v>
      </c>
      <c r="L100" s="14" t="s">
        <v>566</v>
      </c>
      <c r="M100" s="14">
        <v>9.30023766E8</v>
      </c>
      <c r="N100" s="14" t="s">
        <v>125</v>
      </c>
      <c r="O100" s="14" t="s">
        <v>32</v>
      </c>
      <c r="P100" s="16" t="s">
        <v>506</v>
      </c>
      <c r="Q100" s="13">
        <f t="shared" si="5"/>
        <v>8</v>
      </c>
      <c r="R100" s="13">
        <f t="shared" si="6"/>
        <v>7</v>
      </c>
      <c r="S100" s="14" t="s">
        <v>64</v>
      </c>
      <c r="T100" s="8" t="s">
        <v>35</v>
      </c>
      <c r="U100" s="14" t="s">
        <v>47</v>
      </c>
      <c r="V100" s="13" t="s">
        <v>48</v>
      </c>
      <c r="W100" s="9" t="s">
        <v>38</v>
      </c>
      <c r="X100" s="13" t="s">
        <v>38</v>
      </c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</row>
    <row r="101" ht="18.0" customHeight="1">
      <c r="A101" s="3">
        <v>99.0</v>
      </c>
      <c r="B101" s="4" t="s">
        <v>567</v>
      </c>
      <c r="C101" s="5" t="s">
        <v>568</v>
      </c>
      <c r="D101" s="6" t="s">
        <v>26</v>
      </c>
      <c r="E101" s="7" t="s">
        <v>569</v>
      </c>
      <c r="F101" s="5">
        <f t="shared" si="1"/>
        <v>24</v>
      </c>
      <c r="G101" s="5">
        <f t="shared" si="2"/>
        <v>17</v>
      </c>
      <c r="H101" s="5">
        <f t="shared" si="3"/>
        <v>10</v>
      </c>
      <c r="I101" s="6" t="str">
        <f t="shared" si="4"/>
        <v>octubre</v>
      </c>
      <c r="J101" s="6" t="s">
        <v>570</v>
      </c>
      <c r="K101" s="6" t="s">
        <v>571</v>
      </c>
      <c r="L101" s="6" t="s">
        <v>572</v>
      </c>
      <c r="M101" s="6">
        <v>8.1543977E7</v>
      </c>
      <c r="N101" s="6" t="s">
        <v>31</v>
      </c>
      <c r="O101" s="6" t="s">
        <v>32</v>
      </c>
      <c r="P101" s="7" t="s">
        <v>573</v>
      </c>
      <c r="Q101" s="5">
        <f t="shared" si="5"/>
        <v>2</v>
      </c>
      <c r="R101" s="5">
        <f t="shared" si="6"/>
        <v>1</v>
      </c>
      <c r="S101" s="6" t="s">
        <v>46</v>
      </c>
      <c r="T101" s="8" t="s">
        <v>35</v>
      </c>
      <c r="U101" s="6" t="s">
        <v>47</v>
      </c>
      <c r="V101" s="5" t="s">
        <v>48</v>
      </c>
      <c r="W101" s="9" t="s">
        <v>38</v>
      </c>
      <c r="X101" s="5" t="s">
        <v>38</v>
      </c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8.0" customHeight="1">
      <c r="A102" s="11">
        <v>100.0</v>
      </c>
      <c r="B102" s="12" t="s">
        <v>574</v>
      </c>
      <c r="C102" s="13" t="s">
        <v>575</v>
      </c>
      <c r="D102" s="14" t="s">
        <v>26</v>
      </c>
      <c r="E102" s="16" t="s">
        <v>576</v>
      </c>
      <c r="F102" s="13">
        <f t="shared" si="1"/>
        <v>36</v>
      </c>
      <c r="G102" s="13">
        <f t="shared" si="2"/>
        <v>26</v>
      </c>
      <c r="H102" s="13">
        <f t="shared" si="3"/>
        <v>2</v>
      </c>
      <c r="I102" s="14" t="str">
        <f t="shared" si="4"/>
        <v>febrero</v>
      </c>
      <c r="J102" s="14" t="s">
        <v>577</v>
      </c>
      <c r="K102" s="14" t="s">
        <v>29</v>
      </c>
      <c r="L102" s="14" t="s">
        <v>578</v>
      </c>
      <c r="M102" s="14">
        <v>8.2533255E7</v>
      </c>
      <c r="N102" s="14" t="s">
        <v>83</v>
      </c>
      <c r="O102" s="14" t="s">
        <v>32</v>
      </c>
      <c r="P102" s="16" t="s">
        <v>579</v>
      </c>
      <c r="Q102" s="13">
        <f t="shared" si="5"/>
        <v>10</v>
      </c>
      <c r="R102" s="13">
        <f t="shared" si="6"/>
        <v>4</v>
      </c>
      <c r="S102" s="14" t="s">
        <v>250</v>
      </c>
      <c r="T102" s="8" t="s">
        <v>35</v>
      </c>
      <c r="U102" s="14" t="s">
        <v>47</v>
      </c>
      <c r="V102" s="13" t="s">
        <v>37</v>
      </c>
      <c r="W102" s="17"/>
      <c r="X102" s="13" t="s">
        <v>38</v>
      </c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</row>
    <row r="103" ht="18.0" customHeight="1">
      <c r="A103" s="3">
        <v>101.0</v>
      </c>
      <c r="B103" s="4" t="s">
        <v>580</v>
      </c>
      <c r="C103" s="5" t="s">
        <v>581</v>
      </c>
      <c r="D103" s="6" t="s">
        <v>26</v>
      </c>
      <c r="E103" s="7" t="s">
        <v>582</v>
      </c>
      <c r="F103" s="5">
        <f t="shared" si="1"/>
        <v>36</v>
      </c>
      <c r="G103" s="5">
        <f t="shared" si="2"/>
        <v>2</v>
      </c>
      <c r="H103" s="5">
        <f t="shared" si="3"/>
        <v>1</v>
      </c>
      <c r="I103" s="6" t="str">
        <f t="shared" si="4"/>
        <v>enero</v>
      </c>
      <c r="J103" s="6" t="s">
        <v>583</v>
      </c>
      <c r="K103" s="6" t="s">
        <v>68</v>
      </c>
      <c r="L103" s="6" t="s">
        <v>584</v>
      </c>
      <c r="M103" s="6">
        <v>9.2365408E7</v>
      </c>
      <c r="N103" s="6" t="s">
        <v>249</v>
      </c>
      <c r="O103" s="6" t="s">
        <v>32</v>
      </c>
      <c r="P103" s="7" t="s">
        <v>585</v>
      </c>
      <c r="Q103" s="5">
        <f t="shared" si="5"/>
        <v>15</v>
      </c>
      <c r="R103" s="5">
        <f t="shared" si="6"/>
        <v>1</v>
      </c>
      <c r="S103" s="6" t="s">
        <v>46</v>
      </c>
      <c r="T103" s="8" t="s">
        <v>35</v>
      </c>
      <c r="U103" s="6" t="s">
        <v>47</v>
      </c>
      <c r="V103" s="5" t="s">
        <v>48</v>
      </c>
      <c r="W103" s="9" t="s">
        <v>38</v>
      </c>
      <c r="X103" s="5" t="s">
        <v>38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8.0" customHeight="1">
      <c r="A104" s="11">
        <v>102.0</v>
      </c>
      <c r="B104" s="12" t="s">
        <v>586</v>
      </c>
      <c r="C104" s="13" t="s">
        <v>587</v>
      </c>
      <c r="D104" s="14" t="s">
        <v>26</v>
      </c>
      <c r="E104" s="16" t="s">
        <v>588</v>
      </c>
      <c r="F104" s="13">
        <f t="shared" si="1"/>
        <v>54</v>
      </c>
      <c r="G104" s="13">
        <f t="shared" si="2"/>
        <v>4</v>
      </c>
      <c r="H104" s="13">
        <f t="shared" si="3"/>
        <v>2</v>
      </c>
      <c r="I104" s="14" t="str">
        <f t="shared" si="4"/>
        <v>febrero</v>
      </c>
      <c r="J104" s="14" t="s">
        <v>589</v>
      </c>
      <c r="K104" s="14" t="s">
        <v>29</v>
      </c>
      <c r="L104" s="14" t="s">
        <v>590</v>
      </c>
      <c r="M104" s="14">
        <v>9.2956453E7</v>
      </c>
      <c r="N104" s="14" t="s">
        <v>91</v>
      </c>
      <c r="O104" s="14" t="s">
        <v>32</v>
      </c>
      <c r="P104" s="16" t="s">
        <v>591</v>
      </c>
      <c r="Q104" s="13">
        <f t="shared" si="5"/>
        <v>9</v>
      </c>
      <c r="R104" s="13">
        <f t="shared" si="6"/>
        <v>9</v>
      </c>
      <c r="S104" s="14" t="s">
        <v>46</v>
      </c>
      <c r="T104" s="8" t="s">
        <v>35</v>
      </c>
      <c r="U104" s="14" t="s">
        <v>47</v>
      </c>
      <c r="V104" s="13" t="s">
        <v>48</v>
      </c>
      <c r="W104" s="9" t="s">
        <v>38</v>
      </c>
      <c r="X104" s="13" t="s">
        <v>38</v>
      </c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</row>
    <row r="105" ht="18.0" customHeight="1">
      <c r="A105" s="3">
        <v>103.0</v>
      </c>
      <c r="B105" s="4" t="s">
        <v>592</v>
      </c>
      <c r="C105" s="5" t="s">
        <v>593</v>
      </c>
      <c r="D105" s="6" t="s">
        <v>26</v>
      </c>
      <c r="E105" s="7" t="s">
        <v>594</v>
      </c>
      <c r="F105" s="5">
        <f t="shared" si="1"/>
        <v>58</v>
      </c>
      <c r="G105" s="5">
        <f t="shared" si="2"/>
        <v>15</v>
      </c>
      <c r="H105" s="5">
        <f t="shared" si="3"/>
        <v>6</v>
      </c>
      <c r="I105" s="6" t="str">
        <f t="shared" si="4"/>
        <v>junio</v>
      </c>
      <c r="J105" s="6" t="s">
        <v>595</v>
      </c>
      <c r="K105" s="6" t="s">
        <v>230</v>
      </c>
      <c r="L105" s="6" t="s">
        <v>596</v>
      </c>
      <c r="M105" s="6">
        <v>9.30164833E8</v>
      </c>
      <c r="N105" s="6" t="s">
        <v>61</v>
      </c>
      <c r="O105" s="6" t="s">
        <v>32</v>
      </c>
      <c r="P105" s="7" t="s">
        <v>597</v>
      </c>
      <c r="Q105" s="5">
        <f t="shared" si="5"/>
        <v>9</v>
      </c>
      <c r="R105" s="5">
        <f t="shared" si="6"/>
        <v>6</v>
      </c>
      <c r="S105" s="6" t="s">
        <v>46</v>
      </c>
      <c r="T105" s="8" t="s">
        <v>35</v>
      </c>
      <c r="U105" s="6" t="s">
        <v>36</v>
      </c>
      <c r="V105" s="5" t="s">
        <v>37</v>
      </c>
      <c r="W105" s="9" t="s">
        <v>38</v>
      </c>
      <c r="X105" s="5" t="s">
        <v>38</v>
      </c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8.0" customHeight="1">
      <c r="A106" s="11">
        <v>104.0</v>
      </c>
      <c r="B106" s="12" t="s">
        <v>598</v>
      </c>
      <c r="C106" s="13" t="s">
        <v>599</v>
      </c>
      <c r="D106" s="14" t="s">
        <v>26</v>
      </c>
      <c r="E106" s="16" t="s">
        <v>600</v>
      </c>
      <c r="F106" s="13">
        <f t="shared" si="1"/>
        <v>43</v>
      </c>
      <c r="G106" s="13">
        <f t="shared" si="2"/>
        <v>12</v>
      </c>
      <c r="H106" s="13">
        <f t="shared" si="3"/>
        <v>8</v>
      </c>
      <c r="I106" s="14" t="str">
        <f t="shared" si="4"/>
        <v>agosto</v>
      </c>
      <c r="J106" s="14" t="s">
        <v>601</v>
      </c>
      <c r="K106" s="14" t="s">
        <v>131</v>
      </c>
      <c r="L106" s="21" t="s">
        <v>602</v>
      </c>
      <c r="M106" s="14">
        <v>4.7961428E7</v>
      </c>
      <c r="N106" s="14" t="s">
        <v>83</v>
      </c>
      <c r="O106" s="14" t="s">
        <v>32</v>
      </c>
      <c r="P106" s="16" t="s">
        <v>603</v>
      </c>
      <c r="Q106" s="13">
        <f t="shared" si="5"/>
        <v>3</v>
      </c>
      <c r="R106" s="13">
        <f t="shared" si="6"/>
        <v>4</v>
      </c>
      <c r="S106" s="14" t="s">
        <v>46</v>
      </c>
      <c r="T106" s="8" t="s">
        <v>35</v>
      </c>
      <c r="U106" s="14" t="s">
        <v>36</v>
      </c>
      <c r="V106" s="13" t="s">
        <v>37</v>
      </c>
      <c r="W106" s="9" t="s">
        <v>38</v>
      </c>
      <c r="X106" s="13" t="s">
        <v>38</v>
      </c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</row>
    <row r="107" ht="18.0" customHeight="1">
      <c r="A107" s="3">
        <v>105.0</v>
      </c>
      <c r="B107" s="4" t="s">
        <v>604</v>
      </c>
      <c r="C107" s="5" t="s">
        <v>605</v>
      </c>
      <c r="D107" s="6" t="s">
        <v>26</v>
      </c>
      <c r="E107" s="7" t="s">
        <v>606</v>
      </c>
      <c r="F107" s="5">
        <f t="shared" si="1"/>
        <v>44</v>
      </c>
      <c r="G107" s="5">
        <f t="shared" si="2"/>
        <v>2</v>
      </c>
      <c r="H107" s="5">
        <f t="shared" si="3"/>
        <v>12</v>
      </c>
      <c r="I107" s="6" t="str">
        <f t="shared" si="4"/>
        <v>diciembre</v>
      </c>
      <c r="J107" s="6" t="s">
        <v>607</v>
      </c>
      <c r="K107" s="6" t="s">
        <v>123</v>
      </c>
      <c r="L107" s="6" t="s">
        <v>608</v>
      </c>
      <c r="M107" s="6">
        <v>4.0710362E7</v>
      </c>
      <c r="N107" s="6" t="s">
        <v>61</v>
      </c>
      <c r="O107" s="6" t="s">
        <v>32</v>
      </c>
      <c r="P107" s="7" t="s">
        <v>609</v>
      </c>
      <c r="Q107" s="5">
        <f t="shared" si="5"/>
        <v>12</v>
      </c>
      <c r="R107" s="5">
        <f t="shared" si="6"/>
        <v>3</v>
      </c>
      <c r="S107" s="6" t="s">
        <v>64</v>
      </c>
      <c r="T107" s="8" t="s">
        <v>35</v>
      </c>
      <c r="U107" s="6" t="s">
        <v>36</v>
      </c>
      <c r="V107" s="5" t="s">
        <v>37</v>
      </c>
      <c r="W107" s="9" t="s">
        <v>38</v>
      </c>
      <c r="X107" s="5" t="s">
        <v>38</v>
      </c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8.0" customHeight="1">
      <c r="A108" s="11">
        <v>106.0</v>
      </c>
      <c r="B108" s="12" t="s">
        <v>610</v>
      </c>
      <c r="C108" s="13" t="s">
        <v>611</v>
      </c>
      <c r="D108" s="14" t="s">
        <v>26</v>
      </c>
      <c r="E108" s="16" t="s">
        <v>612</v>
      </c>
      <c r="F108" s="13">
        <f t="shared" si="1"/>
        <v>40</v>
      </c>
      <c r="G108" s="13">
        <f t="shared" si="2"/>
        <v>6</v>
      </c>
      <c r="H108" s="13">
        <f t="shared" si="3"/>
        <v>3</v>
      </c>
      <c r="I108" s="14" t="str">
        <f t="shared" si="4"/>
        <v>marzo</v>
      </c>
      <c r="J108" s="14" t="s">
        <v>613</v>
      </c>
      <c r="K108" s="14" t="s">
        <v>131</v>
      </c>
      <c r="L108" s="21" t="s">
        <v>614</v>
      </c>
      <c r="M108" s="14">
        <v>9.1014612E7</v>
      </c>
      <c r="N108" s="14" t="s">
        <v>31</v>
      </c>
      <c r="O108" s="14" t="s">
        <v>32</v>
      </c>
      <c r="P108" s="16" t="s">
        <v>291</v>
      </c>
      <c r="Q108" s="13">
        <f t="shared" si="5"/>
        <v>11</v>
      </c>
      <c r="R108" s="13">
        <f t="shared" si="6"/>
        <v>2</v>
      </c>
      <c r="S108" s="14" t="s">
        <v>64</v>
      </c>
      <c r="T108" s="8" t="s">
        <v>35</v>
      </c>
      <c r="U108" s="14" t="s">
        <v>47</v>
      </c>
      <c r="V108" s="13" t="s">
        <v>48</v>
      </c>
      <c r="W108" s="9" t="s">
        <v>38</v>
      </c>
      <c r="X108" s="13" t="s">
        <v>38</v>
      </c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</row>
    <row r="109" ht="18.0" customHeight="1">
      <c r="A109" s="3">
        <v>107.0</v>
      </c>
      <c r="B109" s="4" t="s">
        <v>615</v>
      </c>
      <c r="C109" s="5" t="s">
        <v>616</v>
      </c>
      <c r="D109" s="6" t="s">
        <v>26</v>
      </c>
      <c r="E109" s="7" t="s">
        <v>617</v>
      </c>
      <c r="F109" s="5">
        <f t="shared" si="1"/>
        <v>39</v>
      </c>
      <c r="G109" s="5">
        <f t="shared" si="2"/>
        <v>13</v>
      </c>
      <c r="H109" s="5">
        <f t="shared" si="3"/>
        <v>3</v>
      </c>
      <c r="I109" s="6" t="str">
        <f t="shared" si="4"/>
        <v>marzo</v>
      </c>
      <c r="J109" s="6" t="s">
        <v>618</v>
      </c>
      <c r="K109" s="6" t="s">
        <v>29</v>
      </c>
      <c r="L109" s="6" t="s">
        <v>619</v>
      </c>
      <c r="M109" s="6">
        <v>9.3634806E7</v>
      </c>
      <c r="N109" s="6" t="s">
        <v>620</v>
      </c>
      <c r="O109" s="6" t="s">
        <v>32</v>
      </c>
      <c r="P109" s="7" t="s">
        <v>621</v>
      </c>
      <c r="Q109" s="5">
        <f t="shared" si="5"/>
        <v>5</v>
      </c>
      <c r="R109" s="5">
        <f t="shared" si="6"/>
        <v>3</v>
      </c>
      <c r="S109" s="6" t="s">
        <v>292</v>
      </c>
      <c r="T109" s="8" t="s">
        <v>35</v>
      </c>
      <c r="U109" s="6" t="s">
        <v>47</v>
      </c>
      <c r="V109" s="5" t="s">
        <v>48</v>
      </c>
      <c r="W109" s="10"/>
      <c r="X109" s="5" t="s">
        <v>38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8.0" customHeight="1">
      <c r="A110" s="11">
        <v>108.0</v>
      </c>
      <c r="B110" s="12" t="s">
        <v>622</v>
      </c>
      <c r="C110" s="13" t="s">
        <v>623</v>
      </c>
      <c r="D110" s="14" t="s">
        <v>26</v>
      </c>
      <c r="E110" s="16" t="s">
        <v>624</v>
      </c>
      <c r="F110" s="13">
        <f t="shared" si="1"/>
        <v>74</v>
      </c>
      <c r="G110" s="13">
        <f t="shared" si="2"/>
        <v>25</v>
      </c>
      <c r="H110" s="13">
        <f t="shared" si="3"/>
        <v>8</v>
      </c>
      <c r="I110" s="14" t="str">
        <f t="shared" si="4"/>
        <v>agosto</v>
      </c>
      <c r="J110" s="14" t="s">
        <v>625</v>
      </c>
      <c r="K110" s="14" t="s">
        <v>29</v>
      </c>
      <c r="L110" s="14" t="s">
        <v>626</v>
      </c>
      <c r="M110" s="14">
        <v>6.4558386E7</v>
      </c>
      <c r="N110" s="14" t="s">
        <v>83</v>
      </c>
      <c r="O110" s="14" t="s">
        <v>32</v>
      </c>
      <c r="P110" s="16" t="s">
        <v>212</v>
      </c>
      <c r="Q110" s="13">
        <f t="shared" si="5"/>
        <v>5</v>
      </c>
      <c r="R110" s="13">
        <f t="shared" si="6"/>
        <v>7</v>
      </c>
      <c r="S110" s="14" t="s">
        <v>46</v>
      </c>
      <c r="T110" s="8" t="s">
        <v>35</v>
      </c>
      <c r="U110" s="14" t="s">
        <v>36</v>
      </c>
      <c r="V110" s="13" t="s">
        <v>37</v>
      </c>
      <c r="W110" s="9" t="s">
        <v>38</v>
      </c>
      <c r="X110" s="13" t="s">
        <v>38</v>
      </c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</row>
    <row r="111" ht="18.0" customHeight="1">
      <c r="A111" s="3">
        <v>109.0</v>
      </c>
      <c r="B111" s="4" t="s">
        <v>1136</v>
      </c>
      <c r="C111" s="5" t="s">
        <v>1137</v>
      </c>
      <c r="D111" s="6" t="s">
        <v>26</v>
      </c>
      <c r="E111" s="7" t="s">
        <v>1138</v>
      </c>
      <c r="F111" s="5">
        <f t="shared" si="1"/>
        <v>61</v>
      </c>
      <c r="G111" s="5">
        <f t="shared" si="2"/>
        <v>9</v>
      </c>
      <c r="H111" s="5">
        <f t="shared" si="3"/>
        <v>4</v>
      </c>
      <c r="I111" s="6" t="str">
        <f t="shared" si="4"/>
        <v>abril</v>
      </c>
      <c r="J111" s="6" t="s">
        <v>1139</v>
      </c>
      <c r="K111" s="6" t="s">
        <v>43</v>
      </c>
      <c r="L111" s="6" t="s">
        <v>1140</v>
      </c>
      <c r="M111" s="6">
        <v>9.8725447E7</v>
      </c>
      <c r="N111" s="6" t="s">
        <v>249</v>
      </c>
      <c r="O111" s="6" t="s">
        <v>62</v>
      </c>
      <c r="P111" s="7" t="s">
        <v>1141</v>
      </c>
      <c r="Q111" s="5">
        <f t="shared" si="5"/>
        <v>6</v>
      </c>
      <c r="R111" s="5">
        <f t="shared" si="6"/>
        <v>11</v>
      </c>
      <c r="S111" s="6" t="s">
        <v>250</v>
      </c>
      <c r="T111" s="8" t="s">
        <v>35</v>
      </c>
      <c r="U111" s="6" t="s">
        <v>47</v>
      </c>
      <c r="V111" s="5" t="s">
        <v>48</v>
      </c>
      <c r="W111" s="10"/>
      <c r="X111" s="5" t="s">
        <v>38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8.0" customHeight="1">
      <c r="A112" s="11">
        <v>110.0</v>
      </c>
      <c r="B112" s="12" t="s">
        <v>1142</v>
      </c>
      <c r="C112" s="13" t="s">
        <v>1143</v>
      </c>
      <c r="D112" s="14" t="s">
        <v>26</v>
      </c>
      <c r="E112" s="16" t="s">
        <v>1144</v>
      </c>
      <c r="F112" s="13">
        <f t="shared" si="1"/>
        <v>43</v>
      </c>
      <c r="G112" s="13">
        <f t="shared" si="2"/>
        <v>24</v>
      </c>
      <c r="H112" s="13">
        <f t="shared" si="3"/>
        <v>6</v>
      </c>
      <c r="I112" s="14" t="str">
        <f t="shared" si="4"/>
        <v>junio</v>
      </c>
      <c r="J112" s="14" t="s">
        <v>1145</v>
      </c>
      <c r="K112" s="14" t="s">
        <v>29</v>
      </c>
      <c r="L112" s="14" t="s">
        <v>1146</v>
      </c>
      <c r="M112" s="14">
        <v>9.538075E7</v>
      </c>
      <c r="N112" s="14" t="s">
        <v>249</v>
      </c>
      <c r="O112" s="14" t="s">
        <v>648</v>
      </c>
      <c r="P112" s="16" t="s">
        <v>1147</v>
      </c>
      <c r="Q112" s="13">
        <f t="shared" si="5"/>
        <v>12</v>
      </c>
      <c r="R112" s="13">
        <f t="shared" si="6"/>
        <v>2</v>
      </c>
      <c r="S112" s="14" t="s">
        <v>250</v>
      </c>
      <c r="T112" s="8" t="s">
        <v>35</v>
      </c>
      <c r="U112" s="14" t="s">
        <v>36</v>
      </c>
      <c r="V112" s="13" t="s">
        <v>37</v>
      </c>
      <c r="W112" s="17"/>
      <c r="X112" s="13" t="s">
        <v>38</v>
      </c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ht="18.0" customHeight="1">
      <c r="A113" s="3">
        <v>111.0</v>
      </c>
      <c r="B113" s="4" t="s">
        <v>1073</v>
      </c>
      <c r="C113" s="5" t="s">
        <v>1074</v>
      </c>
      <c r="D113" s="6" t="s">
        <v>26</v>
      </c>
      <c r="E113" s="34">
        <v>36628.0</v>
      </c>
      <c r="F113" s="5">
        <f t="shared" si="1"/>
        <v>53</v>
      </c>
      <c r="G113" s="5">
        <f t="shared" si="2"/>
        <v>9</v>
      </c>
      <c r="H113" s="5">
        <f t="shared" si="3"/>
        <v>10</v>
      </c>
      <c r="I113" s="6" t="str">
        <f t="shared" si="4"/>
        <v>octubre</v>
      </c>
      <c r="J113" s="6" t="s">
        <v>1075</v>
      </c>
      <c r="K113" s="6" t="s">
        <v>68</v>
      </c>
      <c r="L113" s="6" t="s">
        <v>1076</v>
      </c>
      <c r="M113" s="6">
        <v>9.81414627E8</v>
      </c>
      <c r="N113" s="6" t="s">
        <v>125</v>
      </c>
      <c r="O113" s="6" t="s">
        <v>32</v>
      </c>
      <c r="P113" s="7" t="s">
        <v>1078</v>
      </c>
      <c r="Q113" s="5">
        <f t="shared" si="5"/>
        <v>16</v>
      </c>
      <c r="R113" s="5">
        <f t="shared" si="6"/>
        <v>6</v>
      </c>
      <c r="S113" s="6" t="s">
        <v>250</v>
      </c>
      <c r="T113" s="36" t="s">
        <v>1059</v>
      </c>
      <c r="U113" s="6" t="s">
        <v>36</v>
      </c>
      <c r="V113" s="5" t="s">
        <v>37</v>
      </c>
      <c r="W113" s="24" t="s">
        <v>1060</v>
      </c>
      <c r="X113" s="5" t="s">
        <v>38</v>
      </c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8.0" customHeight="1">
      <c r="A114" s="11">
        <v>112.0</v>
      </c>
      <c r="B114" s="12" t="s">
        <v>633</v>
      </c>
      <c r="C114" s="13" t="s">
        <v>634</v>
      </c>
      <c r="D114" s="14" t="s">
        <v>26</v>
      </c>
      <c r="E114" s="16" t="s">
        <v>635</v>
      </c>
      <c r="F114" s="13">
        <f t="shared" si="1"/>
        <v>26</v>
      </c>
      <c r="G114" s="13">
        <f t="shared" si="2"/>
        <v>12</v>
      </c>
      <c r="H114" s="13">
        <f t="shared" si="3"/>
        <v>4</v>
      </c>
      <c r="I114" s="14" t="str">
        <f t="shared" si="4"/>
        <v>abril</v>
      </c>
      <c r="J114" s="14" t="s">
        <v>636</v>
      </c>
      <c r="K114" s="14" t="s">
        <v>53</v>
      </c>
      <c r="L114" s="14" t="s">
        <v>637</v>
      </c>
      <c r="M114" s="14">
        <v>9.8204006E7</v>
      </c>
      <c r="N114" s="14" t="s">
        <v>61</v>
      </c>
      <c r="O114" s="14" t="s">
        <v>32</v>
      </c>
      <c r="P114" s="16" t="s">
        <v>101</v>
      </c>
      <c r="Q114" s="13">
        <f t="shared" si="5"/>
        <v>0</v>
      </c>
      <c r="R114" s="13">
        <f t="shared" si="6"/>
        <v>6</v>
      </c>
      <c r="S114" s="14" t="s">
        <v>265</v>
      </c>
      <c r="T114" s="8" t="s">
        <v>35</v>
      </c>
      <c r="U114" s="14" t="s">
        <v>47</v>
      </c>
      <c r="V114" s="13" t="s">
        <v>48</v>
      </c>
      <c r="W114" s="9" t="s">
        <v>38</v>
      </c>
      <c r="X114" s="13" t="s">
        <v>38</v>
      </c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</row>
    <row r="115" ht="18.0" customHeight="1">
      <c r="A115" s="3">
        <v>113.0</v>
      </c>
      <c r="B115" s="4" t="s">
        <v>638</v>
      </c>
      <c r="C115" s="5" t="s">
        <v>639</v>
      </c>
      <c r="D115" s="6" t="s">
        <v>228</v>
      </c>
      <c r="E115" s="19">
        <v>27209.0</v>
      </c>
      <c r="F115" s="5">
        <f t="shared" si="1"/>
        <v>52</v>
      </c>
      <c r="G115" s="5">
        <f t="shared" si="2"/>
        <v>6</v>
      </c>
      <c r="H115" s="5">
        <f t="shared" si="3"/>
        <v>7</v>
      </c>
      <c r="I115" s="6" t="str">
        <f t="shared" si="4"/>
        <v>julio</v>
      </c>
      <c r="J115" s="6" t="s">
        <v>640</v>
      </c>
      <c r="K115" s="6" t="s">
        <v>123</v>
      </c>
      <c r="L115" s="6" t="s">
        <v>641</v>
      </c>
      <c r="M115" s="6">
        <v>9.44994152E8</v>
      </c>
      <c r="N115" s="6" t="s">
        <v>61</v>
      </c>
      <c r="O115" s="6" t="s">
        <v>32</v>
      </c>
      <c r="P115" s="7" t="s">
        <v>642</v>
      </c>
      <c r="Q115" s="5">
        <f t="shared" si="5"/>
        <v>5</v>
      </c>
      <c r="R115" s="5">
        <f t="shared" si="6"/>
        <v>5</v>
      </c>
      <c r="S115" s="6" t="s">
        <v>46</v>
      </c>
      <c r="T115" s="8" t="s">
        <v>35</v>
      </c>
      <c r="U115" s="6" t="s">
        <v>47</v>
      </c>
      <c r="V115" s="5" t="s">
        <v>48</v>
      </c>
      <c r="W115" s="9" t="s">
        <v>38</v>
      </c>
      <c r="X115" s="5" t="s">
        <v>38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8.0" customHeight="1">
      <c r="A116" s="11">
        <v>114.0</v>
      </c>
      <c r="B116" s="12" t="s">
        <v>643</v>
      </c>
      <c r="C116" s="13" t="s">
        <v>644</v>
      </c>
      <c r="D116" s="14" t="s">
        <v>26</v>
      </c>
      <c r="E116" s="16" t="s">
        <v>645</v>
      </c>
      <c r="F116" s="13">
        <f t="shared" si="1"/>
        <v>51</v>
      </c>
      <c r="G116" s="13">
        <f t="shared" si="2"/>
        <v>29</v>
      </c>
      <c r="H116" s="13">
        <f t="shared" si="3"/>
        <v>6</v>
      </c>
      <c r="I116" s="14" t="str">
        <f t="shared" si="4"/>
        <v>junio</v>
      </c>
      <c r="J116" s="14" t="s">
        <v>646</v>
      </c>
      <c r="K116" s="14" t="s">
        <v>43</v>
      </c>
      <c r="L116" s="14" t="s">
        <v>647</v>
      </c>
      <c r="M116" s="14">
        <v>9.7313913E7</v>
      </c>
      <c r="N116" s="14" t="s">
        <v>83</v>
      </c>
      <c r="O116" s="14" t="s">
        <v>648</v>
      </c>
      <c r="P116" s="16" t="s">
        <v>649</v>
      </c>
      <c r="Q116" s="13">
        <f t="shared" si="5"/>
        <v>3</v>
      </c>
      <c r="R116" s="13">
        <f t="shared" si="6"/>
        <v>11</v>
      </c>
      <c r="S116" s="14" t="s">
        <v>650</v>
      </c>
      <c r="T116" s="8" t="s">
        <v>35</v>
      </c>
      <c r="U116" s="14" t="s">
        <v>36</v>
      </c>
      <c r="V116" s="13" t="s">
        <v>37</v>
      </c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ht="18.0" customHeight="1">
      <c r="A117" s="3">
        <v>115.0</v>
      </c>
      <c r="B117" s="4" t="s">
        <v>651</v>
      </c>
      <c r="C117" s="5" t="s">
        <v>652</v>
      </c>
      <c r="D117" s="6" t="s">
        <v>26</v>
      </c>
      <c r="E117" s="7" t="s">
        <v>653</v>
      </c>
      <c r="F117" s="5">
        <f t="shared" si="1"/>
        <v>68</v>
      </c>
      <c r="G117" s="5">
        <f t="shared" si="2"/>
        <v>9</v>
      </c>
      <c r="H117" s="5">
        <f t="shared" si="3"/>
        <v>11</v>
      </c>
      <c r="I117" s="6" t="str">
        <f t="shared" si="4"/>
        <v>noviembre</v>
      </c>
      <c r="J117" s="6" t="s">
        <v>654</v>
      </c>
      <c r="K117" s="6" t="s">
        <v>29</v>
      </c>
      <c r="L117" s="6" t="s">
        <v>655</v>
      </c>
      <c r="M117" s="6">
        <v>9.0225313E7</v>
      </c>
      <c r="N117" s="6" t="s">
        <v>83</v>
      </c>
      <c r="O117" s="6" t="s">
        <v>32</v>
      </c>
      <c r="P117" s="7" t="s">
        <v>549</v>
      </c>
      <c r="Q117" s="5">
        <f t="shared" si="5"/>
        <v>9</v>
      </c>
      <c r="R117" s="5">
        <f t="shared" si="6"/>
        <v>4</v>
      </c>
      <c r="S117" s="6" t="s">
        <v>656</v>
      </c>
      <c r="T117" s="8" t="s">
        <v>35</v>
      </c>
      <c r="U117" s="6" t="s">
        <v>36</v>
      </c>
      <c r="V117" s="5" t="s">
        <v>37</v>
      </c>
      <c r="W117" s="10"/>
      <c r="X117" s="5" t="s">
        <v>38</v>
      </c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8.0" customHeight="1">
      <c r="A118" s="11">
        <v>116.0</v>
      </c>
      <c r="B118" s="12" t="s">
        <v>662</v>
      </c>
      <c r="C118" s="13" t="s">
        <v>663</v>
      </c>
      <c r="D118" s="14" t="s">
        <v>41</v>
      </c>
      <c r="E118" s="16" t="s">
        <v>664</v>
      </c>
      <c r="F118" s="13">
        <f t="shared" si="1"/>
        <v>59</v>
      </c>
      <c r="G118" s="13">
        <f t="shared" si="2"/>
        <v>6</v>
      </c>
      <c r="H118" s="13">
        <f t="shared" si="3"/>
        <v>8</v>
      </c>
      <c r="I118" s="14" t="str">
        <f t="shared" si="4"/>
        <v>agosto</v>
      </c>
      <c r="J118" s="14" t="s">
        <v>665</v>
      </c>
      <c r="K118" s="14" t="s">
        <v>29</v>
      </c>
      <c r="L118" s="14" t="s">
        <v>666</v>
      </c>
      <c r="M118" s="14">
        <v>9.30315701E8</v>
      </c>
      <c r="N118" s="14" t="s">
        <v>31</v>
      </c>
      <c r="O118" s="14" t="s">
        <v>32</v>
      </c>
      <c r="P118" s="16" t="s">
        <v>667</v>
      </c>
      <c r="Q118" s="13">
        <f t="shared" si="5"/>
        <v>19</v>
      </c>
      <c r="R118" s="13">
        <f t="shared" si="6"/>
        <v>10</v>
      </c>
      <c r="S118" s="14" t="s">
        <v>225</v>
      </c>
      <c r="T118" s="8" t="s">
        <v>35</v>
      </c>
      <c r="U118" s="14" t="s">
        <v>36</v>
      </c>
      <c r="V118" s="13" t="s">
        <v>37</v>
      </c>
      <c r="W118" s="9" t="s">
        <v>38</v>
      </c>
      <c r="X118" s="13" t="s">
        <v>38</v>
      </c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</row>
    <row r="119" ht="18.0" customHeight="1">
      <c r="A119" s="3">
        <v>117.0</v>
      </c>
      <c r="B119" s="4" t="s">
        <v>668</v>
      </c>
      <c r="C119" s="5" t="s">
        <v>669</v>
      </c>
      <c r="D119" s="6" t="s">
        <v>26</v>
      </c>
      <c r="E119" s="7" t="s">
        <v>670</v>
      </c>
      <c r="F119" s="5">
        <f t="shared" si="1"/>
        <v>50</v>
      </c>
      <c r="G119" s="5">
        <f t="shared" si="2"/>
        <v>1</v>
      </c>
      <c r="H119" s="5">
        <f t="shared" si="3"/>
        <v>12</v>
      </c>
      <c r="I119" s="6" t="str">
        <f t="shared" si="4"/>
        <v>diciembre</v>
      </c>
      <c r="J119" s="6" t="s">
        <v>671</v>
      </c>
      <c r="K119" s="6" t="s">
        <v>43</v>
      </c>
      <c r="L119" s="6" t="s">
        <v>672</v>
      </c>
      <c r="M119" s="6">
        <v>6.5711784E7</v>
      </c>
      <c r="N119" s="6" t="s">
        <v>91</v>
      </c>
      <c r="O119" s="6" t="s">
        <v>62</v>
      </c>
      <c r="P119" s="7" t="s">
        <v>673</v>
      </c>
      <c r="Q119" s="5">
        <f t="shared" si="5"/>
        <v>4</v>
      </c>
      <c r="R119" s="5">
        <f t="shared" si="6"/>
        <v>6</v>
      </c>
      <c r="S119" s="6" t="s">
        <v>250</v>
      </c>
      <c r="T119" s="8" t="s">
        <v>35</v>
      </c>
      <c r="U119" s="6" t="s">
        <v>36</v>
      </c>
      <c r="V119" s="5" t="s">
        <v>37</v>
      </c>
      <c r="W119" s="10"/>
      <c r="X119" s="5" t="s">
        <v>38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8.0" customHeight="1">
      <c r="A120" s="11">
        <v>118.0</v>
      </c>
      <c r="B120" s="12" t="s">
        <v>674</v>
      </c>
      <c r="C120" s="13" t="s">
        <v>675</v>
      </c>
      <c r="D120" s="14" t="s">
        <v>26</v>
      </c>
      <c r="E120" s="16" t="s">
        <v>676</v>
      </c>
      <c r="F120" s="13">
        <f t="shared" si="1"/>
        <v>52</v>
      </c>
      <c r="G120" s="13">
        <f t="shared" si="2"/>
        <v>8</v>
      </c>
      <c r="H120" s="13">
        <f t="shared" si="3"/>
        <v>1</v>
      </c>
      <c r="I120" s="14" t="str">
        <f t="shared" si="4"/>
        <v>enero</v>
      </c>
      <c r="J120" s="14" t="s">
        <v>677</v>
      </c>
      <c r="K120" s="14" t="s">
        <v>131</v>
      </c>
      <c r="L120" s="14" t="s">
        <v>678</v>
      </c>
      <c r="M120" s="14">
        <v>5.7029852E7</v>
      </c>
      <c r="N120" s="14" t="s">
        <v>83</v>
      </c>
      <c r="O120" s="14" t="s">
        <v>32</v>
      </c>
      <c r="P120" s="16" t="s">
        <v>679</v>
      </c>
      <c r="Q120" s="13">
        <f t="shared" si="5"/>
        <v>13</v>
      </c>
      <c r="R120" s="13">
        <f t="shared" si="6"/>
        <v>3</v>
      </c>
      <c r="S120" s="14" t="s">
        <v>46</v>
      </c>
      <c r="T120" s="8" t="s">
        <v>35</v>
      </c>
      <c r="U120" s="14" t="s">
        <v>36</v>
      </c>
      <c r="V120" s="13" t="s">
        <v>37</v>
      </c>
      <c r="W120" s="9" t="s">
        <v>38</v>
      </c>
      <c r="X120" s="13" t="s">
        <v>38</v>
      </c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</row>
    <row r="121" ht="18.0" customHeight="1">
      <c r="A121" s="3">
        <v>119.0</v>
      </c>
      <c r="B121" s="4" t="s">
        <v>680</v>
      </c>
      <c r="C121" s="5" t="s">
        <v>681</v>
      </c>
      <c r="D121" s="6" t="s">
        <v>41</v>
      </c>
      <c r="E121" s="7" t="s">
        <v>682</v>
      </c>
      <c r="F121" s="5">
        <f t="shared" si="1"/>
        <v>61</v>
      </c>
      <c r="G121" s="5">
        <f t="shared" si="2"/>
        <v>3</v>
      </c>
      <c r="H121" s="5">
        <f t="shared" si="3"/>
        <v>6</v>
      </c>
      <c r="I121" s="6" t="str">
        <f t="shared" si="4"/>
        <v>junio</v>
      </c>
      <c r="J121" s="6" t="s">
        <v>683</v>
      </c>
      <c r="K121" s="6" t="s">
        <v>29</v>
      </c>
      <c r="L121" s="6" t="s">
        <v>684</v>
      </c>
      <c r="M121" s="6">
        <v>9.95216528E8</v>
      </c>
      <c r="N121" s="6" t="s">
        <v>685</v>
      </c>
      <c r="O121" s="6" t="s">
        <v>32</v>
      </c>
      <c r="P121" s="7" t="s">
        <v>686</v>
      </c>
      <c r="Q121" s="5">
        <f t="shared" si="5"/>
        <v>14</v>
      </c>
      <c r="R121" s="5">
        <f t="shared" si="6"/>
        <v>5</v>
      </c>
      <c r="S121" s="6" t="s">
        <v>46</v>
      </c>
      <c r="T121" s="8" t="s">
        <v>35</v>
      </c>
      <c r="U121" s="6" t="s">
        <v>47</v>
      </c>
      <c r="V121" s="5" t="s">
        <v>48</v>
      </c>
      <c r="W121" s="9" t="s">
        <v>38</v>
      </c>
      <c r="X121" s="5" t="s">
        <v>38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8.0" customHeight="1">
      <c r="A122" s="11">
        <v>120.0</v>
      </c>
      <c r="B122" s="12" t="s">
        <v>687</v>
      </c>
      <c r="C122" s="13" t="s">
        <v>688</v>
      </c>
      <c r="D122" s="14" t="s">
        <v>26</v>
      </c>
      <c r="E122" s="16" t="s">
        <v>689</v>
      </c>
      <c r="F122" s="13">
        <f t="shared" si="1"/>
        <v>45</v>
      </c>
      <c r="G122" s="13">
        <f t="shared" si="2"/>
        <v>20</v>
      </c>
      <c r="H122" s="13">
        <f t="shared" si="3"/>
        <v>9</v>
      </c>
      <c r="I122" s="14" t="str">
        <f t="shared" si="4"/>
        <v>septiembre</v>
      </c>
      <c r="J122" s="14" t="s">
        <v>690</v>
      </c>
      <c r="K122" s="14" t="s">
        <v>43</v>
      </c>
      <c r="L122" s="14" t="s">
        <v>691</v>
      </c>
      <c r="M122" s="14">
        <v>9.7896302E7</v>
      </c>
      <c r="N122" s="14" t="s">
        <v>31</v>
      </c>
      <c r="O122" s="14" t="s">
        <v>62</v>
      </c>
      <c r="P122" s="16" t="s">
        <v>692</v>
      </c>
      <c r="Q122" s="13">
        <f t="shared" si="5"/>
        <v>3</v>
      </c>
      <c r="R122" s="13">
        <f t="shared" si="6"/>
        <v>6</v>
      </c>
      <c r="S122" s="14" t="s">
        <v>693</v>
      </c>
      <c r="T122" s="8" t="s">
        <v>35</v>
      </c>
      <c r="U122" s="14" t="s">
        <v>36</v>
      </c>
      <c r="V122" s="13" t="s">
        <v>37</v>
      </c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</row>
    <row r="123" ht="18.0" customHeight="1">
      <c r="A123" s="3">
        <v>121.0</v>
      </c>
      <c r="B123" s="4" t="s">
        <v>1092</v>
      </c>
      <c r="C123" s="5" t="s">
        <v>1093</v>
      </c>
      <c r="D123" s="6" t="s">
        <v>26</v>
      </c>
      <c r="E123" s="34">
        <v>34514.0</v>
      </c>
      <c r="F123" s="5">
        <f t="shared" si="1"/>
        <v>34</v>
      </c>
      <c r="G123" s="5">
        <f t="shared" si="2"/>
        <v>8</v>
      </c>
      <c r="H123" s="5">
        <f t="shared" si="3"/>
        <v>3</v>
      </c>
      <c r="I123" s="6" t="str">
        <f t="shared" si="4"/>
        <v>marzo</v>
      </c>
      <c r="J123" s="6" t="s">
        <v>1148</v>
      </c>
      <c r="K123" s="6" t="s">
        <v>29</v>
      </c>
      <c r="L123" s="6" t="s">
        <v>1094</v>
      </c>
      <c r="M123" s="6">
        <v>9.87654167E8</v>
      </c>
      <c r="N123" s="6" t="s">
        <v>70</v>
      </c>
      <c r="O123" s="6" t="s">
        <v>32</v>
      </c>
      <c r="P123" s="7" t="s">
        <v>1088</v>
      </c>
      <c r="Q123" s="5">
        <f t="shared" si="5"/>
        <v>8</v>
      </c>
      <c r="R123" s="5">
        <f t="shared" si="6"/>
        <v>2</v>
      </c>
      <c r="S123" s="6" t="s">
        <v>46</v>
      </c>
      <c r="T123" s="36" t="s">
        <v>1059</v>
      </c>
      <c r="U123" s="6" t="s">
        <v>36</v>
      </c>
      <c r="V123" s="5" t="s">
        <v>37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8.0" customHeight="1">
      <c r="A124" s="11">
        <v>122.0</v>
      </c>
      <c r="B124" s="12" t="s">
        <v>698</v>
      </c>
      <c r="C124" s="13" t="s">
        <v>699</v>
      </c>
      <c r="D124" s="14" t="s">
        <v>41</v>
      </c>
      <c r="E124" s="16" t="s">
        <v>700</v>
      </c>
      <c r="F124" s="13">
        <f t="shared" si="1"/>
        <v>31</v>
      </c>
      <c r="G124" s="13">
        <f t="shared" si="2"/>
        <v>29</v>
      </c>
      <c r="H124" s="13">
        <f t="shared" si="3"/>
        <v>6</v>
      </c>
      <c r="I124" s="14" t="str">
        <f t="shared" si="4"/>
        <v>junio</v>
      </c>
      <c r="J124" s="14" t="s">
        <v>701</v>
      </c>
      <c r="K124" s="14" t="s">
        <v>68</v>
      </c>
      <c r="L124" s="14" t="s">
        <v>702</v>
      </c>
      <c r="M124" s="14">
        <v>3.6770865E7</v>
      </c>
      <c r="N124" s="14" t="s">
        <v>125</v>
      </c>
      <c r="O124" s="14" t="s">
        <v>32</v>
      </c>
      <c r="P124" s="16" t="s">
        <v>703</v>
      </c>
      <c r="Q124" s="13">
        <f t="shared" si="5"/>
        <v>0</v>
      </c>
      <c r="R124" s="13">
        <f t="shared" si="6"/>
        <v>5</v>
      </c>
      <c r="S124" s="14" t="s">
        <v>46</v>
      </c>
      <c r="T124" s="8" t="s">
        <v>35</v>
      </c>
      <c r="U124" s="14" t="s">
        <v>47</v>
      </c>
      <c r="V124" s="13" t="s">
        <v>48</v>
      </c>
      <c r="W124" s="9" t="s">
        <v>38</v>
      </c>
      <c r="X124" s="13" t="s">
        <v>38</v>
      </c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</row>
    <row r="125" ht="18.0" customHeight="1">
      <c r="A125" s="3">
        <v>123.0</v>
      </c>
      <c r="B125" s="4" t="s">
        <v>1149</v>
      </c>
      <c r="C125" s="5" t="s">
        <v>1150</v>
      </c>
      <c r="D125" s="6" t="s">
        <v>26</v>
      </c>
      <c r="E125" s="7" t="s">
        <v>1151</v>
      </c>
      <c r="F125" s="5">
        <f t="shared" si="1"/>
        <v>30</v>
      </c>
      <c r="G125" s="5">
        <f t="shared" si="2"/>
        <v>10</v>
      </c>
      <c r="H125" s="5">
        <f t="shared" si="3"/>
        <v>9</v>
      </c>
      <c r="I125" s="6" t="str">
        <f t="shared" si="4"/>
        <v>septiembre</v>
      </c>
      <c r="J125" s="6" t="s">
        <v>1152</v>
      </c>
      <c r="K125" s="6" t="s">
        <v>504</v>
      </c>
      <c r="L125" s="6" t="s">
        <v>1153</v>
      </c>
      <c r="M125" s="6">
        <v>7.4609384E7</v>
      </c>
      <c r="N125" s="6" t="s">
        <v>83</v>
      </c>
      <c r="O125" s="6" t="s">
        <v>32</v>
      </c>
      <c r="P125" s="7" t="s">
        <v>1154</v>
      </c>
      <c r="Q125" s="5">
        <f t="shared" si="5"/>
        <v>5</v>
      </c>
      <c r="R125" s="5">
        <f t="shared" si="6"/>
        <v>4</v>
      </c>
      <c r="S125" s="6" t="s">
        <v>250</v>
      </c>
      <c r="T125" s="8" t="s">
        <v>35</v>
      </c>
      <c r="U125" s="6" t="s">
        <v>47</v>
      </c>
      <c r="V125" s="5" t="s">
        <v>48</v>
      </c>
      <c r="W125" s="10"/>
      <c r="X125" s="5" t="s">
        <v>38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8.0" customHeight="1">
      <c r="A126" s="11">
        <v>124.0</v>
      </c>
      <c r="B126" s="12" t="s">
        <v>704</v>
      </c>
      <c r="C126" s="13" t="s">
        <v>705</v>
      </c>
      <c r="D126" s="14" t="s">
        <v>26</v>
      </c>
      <c r="E126" s="16" t="s">
        <v>706</v>
      </c>
      <c r="F126" s="13">
        <f t="shared" si="1"/>
        <v>52</v>
      </c>
      <c r="G126" s="13">
        <f t="shared" si="2"/>
        <v>19</v>
      </c>
      <c r="H126" s="13">
        <f t="shared" si="3"/>
        <v>5</v>
      </c>
      <c r="I126" s="14" t="str">
        <f t="shared" si="4"/>
        <v>mayo</v>
      </c>
      <c r="J126" s="14" t="s">
        <v>707</v>
      </c>
      <c r="K126" s="14" t="s">
        <v>53</v>
      </c>
      <c r="L126" s="14" t="s">
        <v>708</v>
      </c>
      <c r="M126" s="14">
        <v>4.6222243E7</v>
      </c>
      <c r="N126" s="14" t="s">
        <v>31</v>
      </c>
      <c r="O126" s="14" t="s">
        <v>32</v>
      </c>
      <c r="P126" s="16" t="s">
        <v>709</v>
      </c>
      <c r="Q126" s="13">
        <f t="shared" si="5"/>
        <v>8</v>
      </c>
      <c r="R126" s="13">
        <f t="shared" si="6"/>
        <v>1</v>
      </c>
      <c r="S126" s="14" t="s">
        <v>46</v>
      </c>
      <c r="T126" s="8" t="s">
        <v>35</v>
      </c>
      <c r="U126" s="14" t="s">
        <v>36</v>
      </c>
      <c r="V126" s="13" t="s">
        <v>37</v>
      </c>
      <c r="W126" s="9" t="s">
        <v>38</v>
      </c>
      <c r="X126" s="13" t="s">
        <v>38</v>
      </c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ht="18.0" customHeight="1">
      <c r="A127" s="3">
        <v>125.0</v>
      </c>
      <c r="B127" s="4" t="s">
        <v>710</v>
      </c>
      <c r="C127" s="5" t="s">
        <v>711</v>
      </c>
      <c r="D127" s="6" t="s">
        <v>26</v>
      </c>
      <c r="E127" s="7" t="s">
        <v>712</v>
      </c>
      <c r="F127" s="5">
        <f t="shared" si="1"/>
        <v>41</v>
      </c>
      <c r="G127" s="5">
        <f t="shared" si="2"/>
        <v>10</v>
      </c>
      <c r="H127" s="5">
        <f t="shared" si="3"/>
        <v>8</v>
      </c>
      <c r="I127" s="6" t="str">
        <f t="shared" si="4"/>
        <v>agosto</v>
      </c>
      <c r="J127" s="6" t="s">
        <v>1155</v>
      </c>
      <c r="K127" s="6" t="s">
        <v>29</v>
      </c>
      <c r="L127" s="6" t="s">
        <v>714</v>
      </c>
      <c r="M127" s="6">
        <v>9.2455608E7</v>
      </c>
      <c r="N127" s="6" t="s">
        <v>31</v>
      </c>
      <c r="O127" s="6" t="s">
        <v>32</v>
      </c>
      <c r="P127" s="7" t="s">
        <v>715</v>
      </c>
      <c r="Q127" s="5">
        <f t="shared" si="5"/>
        <v>13</v>
      </c>
      <c r="R127" s="5">
        <f t="shared" si="6"/>
        <v>3</v>
      </c>
      <c r="S127" s="6" t="s">
        <v>64</v>
      </c>
      <c r="T127" s="8" t="s">
        <v>35</v>
      </c>
      <c r="U127" s="6" t="s">
        <v>47</v>
      </c>
      <c r="V127" s="5" t="s">
        <v>48</v>
      </c>
      <c r="W127" s="9" t="s">
        <v>38</v>
      </c>
      <c r="X127" s="5" t="s">
        <v>38</v>
      </c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8.0" customHeight="1">
      <c r="A128" s="11">
        <v>126.0</v>
      </c>
      <c r="B128" s="12" t="s">
        <v>716</v>
      </c>
      <c r="C128" s="13" t="s">
        <v>717</v>
      </c>
      <c r="D128" s="14" t="s">
        <v>26</v>
      </c>
      <c r="E128" s="16" t="s">
        <v>718</v>
      </c>
      <c r="F128" s="13">
        <f t="shared" si="1"/>
        <v>31</v>
      </c>
      <c r="G128" s="13">
        <f t="shared" si="2"/>
        <v>1</v>
      </c>
      <c r="H128" s="13">
        <f t="shared" si="3"/>
        <v>7</v>
      </c>
      <c r="I128" s="14" t="str">
        <f t="shared" si="4"/>
        <v>julio</v>
      </c>
      <c r="J128" s="14" t="s">
        <v>719</v>
      </c>
      <c r="K128" s="14" t="s">
        <v>29</v>
      </c>
      <c r="L128" s="14" t="s">
        <v>720</v>
      </c>
      <c r="M128" s="14">
        <v>6.6141524E7</v>
      </c>
      <c r="N128" s="14" t="s">
        <v>91</v>
      </c>
      <c r="O128" s="14" t="s">
        <v>32</v>
      </c>
      <c r="P128" s="16" t="s">
        <v>721</v>
      </c>
      <c r="Q128" s="13">
        <f t="shared" si="5"/>
        <v>4</v>
      </c>
      <c r="R128" s="13">
        <f t="shared" si="6"/>
        <v>11</v>
      </c>
      <c r="S128" s="14" t="s">
        <v>46</v>
      </c>
      <c r="T128" s="8" t="s">
        <v>35</v>
      </c>
      <c r="U128" s="14" t="s">
        <v>36</v>
      </c>
      <c r="V128" s="13" t="s">
        <v>37</v>
      </c>
      <c r="W128" s="24" t="s">
        <v>285</v>
      </c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</row>
    <row r="129" ht="18.0" customHeight="1">
      <c r="A129" s="3">
        <v>127.0</v>
      </c>
      <c r="B129" s="4" t="s">
        <v>722</v>
      </c>
      <c r="C129" s="5" t="s">
        <v>723</v>
      </c>
      <c r="D129" s="6" t="s">
        <v>26</v>
      </c>
      <c r="E129" s="7" t="s">
        <v>724</v>
      </c>
      <c r="F129" s="5">
        <f t="shared" si="1"/>
        <v>49</v>
      </c>
      <c r="G129" s="5">
        <f t="shared" si="2"/>
        <v>18</v>
      </c>
      <c r="H129" s="5">
        <f t="shared" si="3"/>
        <v>3</v>
      </c>
      <c r="I129" s="6" t="str">
        <f t="shared" si="4"/>
        <v>marzo</v>
      </c>
      <c r="J129" s="6" t="s">
        <v>725</v>
      </c>
      <c r="K129" s="6" t="s">
        <v>29</v>
      </c>
      <c r="L129" s="6" t="s">
        <v>726</v>
      </c>
      <c r="M129" s="6">
        <v>6.6407643E7</v>
      </c>
      <c r="N129" s="6" t="s">
        <v>31</v>
      </c>
      <c r="O129" s="6" t="s">
        <v>92</v>
      </c>
      <c r="P129" s="7" t="s">
        <v>727</v>
      </c>
      <c r="Q129" s="5">
        <f t="shared" si="5"/>
        <v>15</v>
      </c>
      <c r="R129" s="5">
        <f t="shared" si="6"/>
        <v>5</v>
      </c>
      <c r="S129" s="6" t="s">
        <v>728</v>
      </c>
      <c r="T129" s="8" t="s">
        <v>35</v>
      </c>
      <c r="U129" s="6" t="s">
        <v>47</v>
      </c>
      <c r="V129" s="5" t="s">
        <v>48</v>
      </c>
      <c r="W129" s="10"/>
      <c r="X129" s="5" t="s">
        <v>38</v>
      </c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8.0" customHeight="1">
      <c r="A130" s="11">
        <v>128.0</v>
      </c>
      <c r="B130" s="12" t="s">
        <v>729</v>
      </c>
      <c r="C130" s="13" t="s">
        <v>730</v>
      </c>
      <c r="D130" s="14" t="s">
        <v>26</v>
      </c>
      <c r="E130" s="25">
        <v>34342.0</v>
      </c>
      <c r="F130" s="13">
        <f t="shared" si="1"/>
        <v>33</v>
      </c>
      <c r="G130" s="13">
        <f t="shared" si="2"/>
        <v>6</v>
      </c>
      <c r="H130" s="13">
        <f t="shared" si="3"/>
        <v>7</v>
      </c>
      <c r="I130" s="14" t="str">
        <f t="shared" si="4"/>
        <v>julio</v>
      </c>
      <c r="J130" s="14" t="s">
        <v>731</v>
      </c>
      <c r="K130" s="14" t="s">
        <v>123</v>
      </c>
      <c r="L130" s="14" t="s">
        <v>732</v>
      </c>
      <c r="M130" s="14">
        <v>9.57514791E8</v>
      </c>
      <c r="N130" s="14" t="s">
        <v>125</v>
      </c>
      <c r="O130" s="14" t="s">
        <v>32</v>
      </c>
      <c r="P130" s="25">
        <v>44440.0</v>
      </c>
      <c r="Q130" s="13">
        <f t="shared" si="5"/>
        <v>6</v>
      </c>
      <c r="R130" s="13">
        <f t="shared" si="6"/>
        <v>7</v>
      </c>
      <c r="S130" s="14" t="s">
        <v>250</v>
      </c>
      <c r="T130" s="8" t="s">
        <v>35</v>
      </c>
      <c r="U130" s="14" t="s">
        <v>36</v>
      </c>
      <c r="V130" s="13" t="s">
        <v>37</v>
      </c>
      <c r="W130" s="17"/>
      <c r="X130" s="13" t="s">
        <v>38</v>
      </c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</row>
    <row r="131" ht="18.0" customHeight="1">
      <c r="A131" s="3">
        <v>129.0</v>
      </c>
      <c r="B131" s="4" t="s">
        <v>733</v>
      </c>
      <c r="C131" s="5" t="s">
        <v>734</v>
      </c>
      <c r="D131" s="6" t="s">
        <v>26</v>
      </c>
      <c r="E131" s="7" t="s">
        <v>735</v>
      </c>
      <c r="F131" s="5">
        <f t="shared" si="1"/>
        <v>32</v>
      </c>
      <c r="G131" s="5">
        <f t="shared" si="2"/>
        <v>8</v>
      </c>
      <c r="H131" s="5">
        <f t="shared" si="3"/>
        <v>1</v>
      </c>
      <c r="I131" s="6" t="str">
        <f t="shared" si="4"/>
        <v>enero</v>
      </c>
      <c r="J131" s="6" t="s">
        <v>736</v>
      </c>
      <c r="K131" s="6" t="s">
        <v>68</v>
      </c>
      <c r="L131" s="6" t="s">
        <v>737</v>
      </c>
      <c r="M131" s="6">
        <v>9.31001355E8</v>
      </c>
      <c r="N131" s="6" t="s">
        <v>70</v>
      </c>
      <c r="O131" s="6" t="s">
        <v>32</v>
      </c>
      <c r="P131" s="7" t="s">
        <v>489</v>
      </c>
      <c r="Q131" s="5">
        <f t="shared" si="5"/>
        <v>4</v>
      </c>
      <c r="R131" s="5">
        <f t="shared" si="6"/>
        <v>8</v>
      </c>
      <c r="S131" s="6" t="s">
        <v>46</v>
      </c>
      <c r="T131" s="8" t="s">
        <v>35</v>
      </c>
      <c r="U131" s="6" t="s">
        <v>36</v>
      </c>
      <c r="V131" s="5" t="s">
        <v>37</v>
      </c>
      <c r="W131" s="9" t="s">
        <v>511</v>
      </c>
      <c r="X131" s="5" t="s">
        <v>38</v>
      </c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8.0" customHeight="1">
      <c r="A132" s="11">
        <v>130.0</v>
      </c>
      <c r="B132" s="12" t="s">
        <v>738</v>
      </c>
      <c r="C132" s="13" t="s">
        <v>739</v>
      </c>
      <c r="D132" s="14" t="s">
        <v>26</v>
      </c>
      <c r="E132" s="16" t="s">
        <v>740</v>
      </c>
      <c r="F132" s="13">
        <f t="shared" si="1"/>
        <v>29</v>
      </c>
      <c r="G132" s="13">
        <f t="shared" si="2"/>
        <v>29</v>
      </c>
      <c r="H132" s="13">
        <f t="shared" si="3"/>
        <v>9</v>
      </c>
      <c r="I132" s="14" t="str">
        <f t="shared" si="4"/>
        <v>septiembre</v>
      </c>
      <c r="J132" s="14" t="s">
        <v>741</v>
      </c>
      <c r="K132" s="14" t="s">
        <v>68</v>
      </c>
      <c r="L132" s="14" t="s">
        <v>742</v>
      </c>
      <c r="M132" s="14">
        <v>9687157.0</v>
      </c>
      <c r="N132" s="14" t="s">
        <v>91</v>
      </c>
      <c r="O132" s="14" t="s">
        <v>32</v>
      </c>
      <c r="P132" s="16" t="s">
        <v>743</v>
      </c>
      <c r="Q132" s="13">
        <f t="shared" si="5"/>
        <v>1</v>
      </c>
      <c r="R132" s="13">
        <f t="shared" si="6"/>
        <v>4</v>
      </c>
      <c r="S132" s="14" t="s">
        <v>64</v>
      </c>
      <c r="T132" s="8" t="s">
        <v>35</v>
      </c>
      <c r="U132" s="14" t="s">
        <v>47</v>
      </c>
      <c r="V132" s="13" t="s">
        <v>48</v>
      </c>
      <c r="W132" s="9" t="s">
        <v>38</v>
      </c>
      <c r="X132" s="13" t="s">
        <v>38</v>
      </c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</row>
    <row r="133" ht="18.0" customHeight="1">
      <c r="A133" s="3">
        <v>131.0</v>
      </c>
      <c r="B133" s="4" t="s">
        <v>744</v>
      </c>
      <c r="C133" s="5" t="s">
        <v>745</v>
      </c>
      <c r="D133" s="6" t="s">
        <v>26</v>
      </c>
      <c r="E133" s="7" t="s">
        <v>746</v>
      </c>
      <c r="F133" s="5">
        <f t="shared" si="1"/>
        <v>62</v>
      </c>
      <c r="G133" s="5">
        <f t="shared" si="2"/>
        <v>22</v>
      </c>
      <c r="H133" s="5">
        <f t="shared" si="3"/>
        <v>7</v>
      </c>
      <c r="I133" s="6" t="str">
        <f t="shared" si="4"/>
        <v>julio</v>
      </c>
      <c r="J133" s="6" t="s">
        <v>289</v>
      </c>
      <c r="K133" s="6" t="s">
        <v>89</v>
      </c>
      <c r="L133" s="6" t="s">
        <v>747</v>
      </c>
      <c r="M133" s="6">
        <v>4.4204882E7</v>
      </c>
      <c r="N133" s="6" t="s">
        <v>31</v>
      </c>
      <c r="O133" s="6" t="s">
        <v>32</v>
      </c>
      <c r="P133" s="7" t="s">
        <v>218</v>
      </c>
      <c r="Q133" s="5">
        <f t="shared" si="5"/>
        <v>8</v>
      </c>
      <c r="R133" s="5">
        <f t="shared" si="6"/>
        <v>6</v>
      </c>
      <c r="S133" s="6" t="s">
        <v>265</v>
      </c>
      <c r="T133" s="8" t="s">
        <v>35</v>
      </c>
      <c r="U133" s="6" t="s">
        <v>47</v>
      </c>
      <c r="V133" s="5" t="s">
        <v>48</v>
      </c>
      <c r="W133" s="9" t="s">
        <v>38</v>
      </c>
      <c r="X133" s="5" t="s">
        <v>38</v>
      </c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8.0" customHeight="1">
      <c r="A134" s="11">
        <v>132.0</v>
      </c>
      <c r="B134" s="12" t="s">
        <v>748</v>
      </c>
      <c r="C134" s="13" t="s">
        <v>749</v>
      </c>
      <c r="D134" s="14" t="s">
        <v>26</v>
      </c>
      <c r="E134" s="16" t="s">
        <v>750</v>
      </c>
      <c r="F134" s="13">
        <f t="shared" si="1"/>
        <v>31</v>
      </c>
      <c r="G134" s="13">
        <f t="shared" si="2"/>
        <v>27</v>
      </c>
      <c r="H134" s="13">
        <f t="shared" si="3"/>
        <v>8</v>
      </c>
      <c r="I134" s="14" t="str">
        <f t="shared" si="4"/>
        <v>agosto</v>
      </c>
      <c r="J134" s="14" t="s">
        <v>751</v>
      </c>
      <c r="K134" s="14" t="s">
        <v>43</v>
      </c>
      <c r="L134" s="21" t="s">
        <v>752</v>
      </c>
      <c r="M134" s="14">
        <v>9.6692328E7</v>
      </c>
      <c r="N134" s="14" t="s">
        <v>31</v>
      </c>
      <c r="O134" s="14" t="s">
        <v>32</v>
      </c>
      <c r="P134" s="16" t="s">
        <v>753</v>
      </c>
      <c r="Q134" s="13">
        <f t="shared" si="5"/>
        <v>5</v>
      </c>
      <c r="R134" s="13">
        <f t="shared" si="6"/>
        <v>7</v>
      </c>
      <c r="S134" s="14" t="s">
        <v>46</v>
      </c>
      <c r="T134" s="8" t="s">
        <v>35</v>
      </c>
      <c r="U134" s="14" t="s">
        <v>47</v>
      </c>
      <c r="V134" s="13" t="s">
        <v>48</v>
      </c>
      <c r="W134" s="9" t="s">
        <v>38</v>
      </c>
      <c r="X134" s="13" t="s">
        <v>38</v>
      </c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</row>
    <row r="135" ht="18.0" customHeight="1">
      <c r="A135" s="3">
        <v>133.0</v>
      </c>
      <c r="B135" s="4" t="s">
        <v>754</v>
      </c>
      <c r="C135" s="5" t="s">
        <v>755</v>
      </c>
      <c r="D135" s="6" t="s">
        <v>26</v>
      </c>
      <c r="E135" s="7" t="s">
        <v>756</v>
      </c>
      <c r="F135" s="5">
        <f t="shared" si="1"/>
        <v>35</v>
      </c>
      <c r="G135" s="5">
        <f t="shared" si="2"/>
        <v>12</v>
      </c>
      <c r="H135" s="5">
        <f t="shared" si="3"/>
        <v>9</v>
      </c>
      <c r="I135" s="6" t="str">
        <f t="shared" si="4"/>
        <v>septiembre</v>
      </c>
      <c r="J135" s="6" t="s">
        <v>757</v>
      </c>
      <c r="K135" s="6" t="s">
        <v>123</v>
      </c>
      <c r="L135" s="6" t="s">
        <v>758</v>
      </c>
      <c r="M135" s="6">
        <v>8.4267934E7</v>
      </c>
      <c r="N135" s="6" t="s">
        <v>31</v>
      </c>
      <c r="O135" s="6" t="s">
        <v>32</v>
      </c>
      <c r="P135" s="7" t="s">
        <v>759</v>
      </c>
      <c r="Q135" s="5">
        <f t="shared" si="5"/>
        <v>9</v>
      </c>
      <c r="R135" s="5">
        <f t="shared" si="6"/>
        <v>7</v>
      </c>
      <c r="S135" s="6" t="s">
        <v>64</v>
      </c>
      <c r="T135" s="8" t="s">
        <v>35</v>
      </c>
      <c r="U135" s="6" t="s">
        <v>36</v>
      </c>
      <c r="V135" s="5" t="s">
        <v>37</v>
      </c>
      <c r="W135" s="9" t="s">
        <v>38</v>
      </c>
      <c r="X135" s="5" t="s">
        <v>38</v>
      </c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8.0" customHeight="1">
      <c r="A136" s="11">
        <v>134.0</v>
      </c>
      <c r="B136" s="12" t="s">
        <v>760</v>
      </c>
      <c r="C136" s="13" t="s">
        <v>761</v>
      </c>
      <c r="D136" s="14" t="s">
        <v>26</v>
      </c>
      <c r="E136" s="16" t="s">
        <v>762</v>
      </c>
      <c r="F136" s="13">
        <f t="shared" si="1"/>
        <v>35</v>
      </c>
      <c r="G136" s="13">
        <f t="shared" si="2"/>
        <v>14</v>
      </c>
      <c r="H136" s="13">
        <f t="shared" si="3"/>
        <v>2</v>
      </c>
      <c r="I136" s="14" t="str">
        <f t="shared" si="4"/>
        <v>febrero</v>
      </c>
      <c r="J136" s="14" t="s">
        <v>763</v>
      </c>
      <c r="K136" s="14" t="s">
        <v>29</v>
      </c>
      <c r="L136" s="21" t="s">
        <v>764</v>
      </c>
      <c r="M136" s="14">
        <v>7.8635307E7</v>
      </c>
      <c r="N136" s="14" t="s">
        <v>61</v>
      </c>
      <c r="O136" s="14" t="s">
        <v>32</v>
      </c>
      <c r="P136" s="16" t="s">
        <v>765</v>
      </c>
      <c r="Q136" s="13">
        <f t="shared" si="5"/>
        <v>7</v>
      </c>
      <c r="R136" s="13">
        <f t="shared" si="6"/>
        <v>0</v>
      </c>
      <c r="S136" s="14" t="s">
        <v>64</v>
      </c>
      <c r="T136" s="8" t="s">
        <v>35</v>
      </c>
      <c r="U136" s="14" t="s">
        <v>36</v>
      </c>
      <c r="V136" s="13" t="s">
        <v>37</v>
      </c>
      <c r="W136" s="9" t="s">
        <v>38</v>
      </c>
      <c r="X136" s="13" t="s">
        <v>38</v>
      </c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</row>
    <row r="137" ht="18.0" customHeight="1">
      <c r="A137" s="3">
        <v>135.0</v>
      </c>
      <c r="B137" s="4" t="s">
        <v>766</v>
      </c>
      <c r="C137" s="5" t="s">
        <v>767</v>
      </c>
      <c r="D137" s="6" t="s">
        <v>26</v>
      </c>
      <c r="E137" s="7" t="s">
        <v>768</v>
      </c>
      <c r="F137" s="5">
        <f t="shared" si="1"/>
        <v>44</v>
      </c>
      <c r="G137" s="5">
        <f t="shared" si="2"/>
        <v>13</v>
      </c>
      <c r="H137" s="5">
        <f t="shared" si="3"/>
        <v>6</v>
      </c>
      <c r="I137" s="6" t="str">
        <f t="shared" si="4"/>
        <v>junio</v>
      </c>
      <c r="J137" s="6" t="s">
        <v>769</v>
      </c>
      <c r="K137" s="6" t="s">
        <v>123</v>
      </c>
      <c r="L137" s="6" t="s">
        <v>770</v>
      </c>
      <c r="M137" s="6">
        <v>6.4325145E7</v>
      </c>
      <c r="N137" s="6" t="s">
        <v>61</v>
      </c>
      <c r="O137" s="6" t="s">
        <v>32</v>
      </c>
      <c r="P137" s="7" t="s">
        <v>771</v>
      </c>
      <c r="Q137" s="5">
        <f t="shared" si="5"/>
        <v>20</v>
      </c>
      <c r="R137" s="5">
        <f t="shared" si="6"/>
        <v>5</v>
      </c>
      <c r="S137" s="6" t="s">
        <v>46</v>
      </c>
      <c r="T137" s="8" t="s">
        <v>35</v>
      </c>
      <c r="U137" s="6" t="s">
        <v>47</v>
      </c>
      <c r="V137" s="5" t="s">
        <v>48</v>
      </c>
      <c r="W137" s="9" t="s">
        <v>38</v>
      </c>
      <c r="X137" s="5" t="s">
        <v>38</v>
      </c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8.0" customHeight="1">
      <c r="A138" s="11">
        <v>136.0</v>
      </c>
      <c r="B138" s="12" t="s">
        <v>772</v>
      </c>
      <c r="C138" s="13" t="s">
        <v>773</v>
      </c>
      <c r="D138" s="14" t="s">
        <v>26</v>
      </c>
      <c r="E138" s="16" t="s">
        <v>774</v>
      </c>
      <c r="F138" s="13">
        <f t="shared" si="1"/>
        <v>48</v>
      </c>
      <c r="G138" s="13">
        <f t="shared" si="2"/>
        <v>12</v>
      </c>
      <c r="H138" s="13">
        <f t="shared" si="3"/>
        <v>10</v>
      </c>
      <c r="I138" s="14" t="str">
        <f t="shared" si="4"/>
        <v>octubre</v>
      </c>
      <c r="J138" s="14" t="s">
        <v>775</v>
      </c>
      <c r="K138" s="14" t="s">
        <v>29</v>
      </c>
      <c r="L138" s="14" t="s">
        <v>776</v>
      </c>
      <c r="M138" s="14">
        <v>7.5522296E7</v>
      </c>
      <c r="N138" s="14" t="s">
        <v>31</v>
      </c>
      <c r="O138" s="14" t="s">
        <v>62</v>
      </c>
      <c r="P138" s="16" t="s">
        <v>777</v>
      </c>
      <c r="Q138" s="13">
        <f t="shared" si="5"/>
        <v>5</v>
      </c>
      <c r="R138" s="13">
        <f t="shared" si="6"/>
        <v>6</v>
      </c>
      <c r="S138" s="14" t="s">
        <v>94</v>
      </c>
      <c r="T138" s="8" t="s">
        <v>35</v>
      </c>
      <c r="U138" s="14" t="s">
        <v>36</v>
      </c>
      <c r="V138" s="13" t="s">
        <v>37</v>
      </c>
      <c r="W138" s="17"/>
      <c r="X138" s="13" t="s">
        <v>38</v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</row>
    <row r="139" ht="18.0" customHeight="1">
      <c r="A139" s="3">
        <v>137.0</v>
      </c>
      <c r="B139" s="4" t="s">
        <v>778</v>
      </c>
      <c r="C139" s="5" t="s">
        <v>779</v>
      </c>
      <c r="D139" s="6" t="s">
        <v>26</v>
      </c>
      <c r="E139" s="7" t="s">
        <v>780</v>
      </c>
      <c r="F139" s="5">
        <f t="shared" si="1"/>
        <v>37</v>
      </c>
      <c r="G139" s="5">
        <f t="shared" si="2"/>
        <v>20</v>
      </c>
      <c r="H139" s="5">
        <f t="shared" si="3"/>
        <v>10</v>
      </c>
      <c r="I139" s="6" t="str">
        <f t="shared" si="4"/>
        <v>octubre</v>
      </c>
      <c r="J139" s="6" t="s">
        <v>781</v>
      </c>
      <c r="K139" s="6" t="s">
        <v>53</v>
      </c>
      <c r="L139" s="6" t="s">
        <v>782</v>
      </c>
      <c r="M139" s="6">
        <v>7.9318024E7</v>
      </c>
      <c r="N139" s="6" t="s">
        <v>70</v>
      </c>
      <c r="O139" s="6" t="s">
        <v>32</v>
      </c>
      <c r="P139" s="7" t="s">
        <v>562</v>
      </c>
      <c r="Q139" s="5">
        <f t="shared" si="5"/>
        <v>11</v>
      </c>
      <c r="R139" s="5">
        <f t="shared" si="6"/>
        <v>6</v>
      </c>
      <c r="S139" s="6" t="s">
        <v>64</v>
      </c>
      <c r="T139" s="8" t="s">
        <v>35</v>
      </c>
      <c r="U139" s="6" t="s">
        <v>47</v>
      </c>
      <c r="V139" s="5" t="s">
        <v>48</v>
      </c>
      <c r="W139" s="9" t="s">
        <v>38</v>
      </c>
      <c r="X139" s="5" t="s">
        <v>38</v>
      </c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8.0" customHeight="1">
      <c r="A140" s="11">
        <v>138.0</v>
      </c>
      <c r="B140" s="12" t="s">
        <v>1049</v>
      </c>
      <c r="C140" s="13" t="s">
        <v>1050</v>
      </c>
      <c r="D140" s="14" t="s">
        <v>41</v>
      </c>
      <c r="E140" s="35">
        <v>29200.0</v>
      </c>
      <c r="F140" s="13">
        <f t="shared" si="1"/>
        <v>30</v>
      </c>
      <c r="G140" s="13">
        <f t="shared" si="2"/>
        <v>28</v>
      </c>
      <c r="H140" s="13">
        <f t="shared" si="3"/>
        <v>3</v>
      </c>
      <c r="I140" s="14" t="str">
        <f t="shared" si="4"/>
        <v>marzo</v>
      </c>
      <c r="J140" s="14" t="s">
        <v>1051</v>
      </c>
      <c r="K140" s="14" t="s">
        <v>43</v>
      </c>
      <c r="L140" s="14" t="s">
        <v>1052</v>
      </c>
      <c r="M140" s="14">
        <v>9.5988225E8</v>
      </c>
      <c r="N140" s="14" t="s">
        <v>31</v>
      </c>
      <c r="O140" s="14" t="s">
        <v>32</v>
      </c>
      <c r="P140" s="16" t="s">
        <v>1048</v>
      </c>
      <c r="Q140" s="13">
        <f t="shared" si="5"/>
        <v>8</v>
      </c>
      <c r="R140" s="13">
        <f t="shared" si="6"/>
        <v>7</v>
      </c>
      <c r="S140" s="14" t="s">
        <v>46</v>
      </c>
      <c r="T140" s="8" t="s">
        <v>35</v>
      </c>
      <c r="U140" s="14" t="s">
        <v>47</v>
      </c>
      <c r="V140" s="13" t="s">
        <v>48</v>
      </c>
      <c r="W140" s="24" t="s">
        <v>285</v>
      </c>
      <c r="X140" s="13" t="s">
        <v>38</v>
      </c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</row>
    <row r="141" ht="18.0" customHeight="1">
      <c r="A141" s="3">
        <v>139.0</v>
      </c>
      <c r="B141" s="4" t="s">
        <v>789</v>
      </c>
      <c r="C141" s="5" t="s">
        <v>790</v>
      </c>
      <c r="D141" s="6" t="s">
        <v>26</v>
      </c>
      <c r="E141" s="7" t="s">
        <v>791</v>
      </c>
      <c r="F141" s="5">
        <f t="shared" si="1"/>
        <v>46</v>
      </c>
      <c r="G141" s="5">
        <f t="shared" si="2"/>
        <v>11</v>
      </c>
      <c r="H141" s="5">
        <f t="shared" si="3"/>
        <v>12</v>
      </c>
      <c r="I141" s="6" t="str">
        <f t="shared" si="4"/>
        <v>diciembre</v>
      </c>
      <c r="J141" s="6" t="s">
        <v>792</v>
      </c>
      <c r="K141" s="6" t="s">
        <v>89</v>
      </c>
      <c r="L141" s="23" t="s">
        <v>793</v>
      </c>
      <c r="M141" s="6">
        <v>9.86685076E8</v>
      </c>
      <c r="N141" s="6" t="s">
        <v>61</v>
      </c>
      <c r="O141" s="6" t="s">
        <v>32</v>
      </c>
      <c r="P141" s="7" t="s">
        <v>794</v>
      </c>
      <c r="Q141" s="5">
        <f t="shared" si="5"/>
        <v>1</v>
      </c>
      <c r="R141" s="5">
        <f t="shared" si="6"/>
        <v>0</v>
      </c>
      <c r="S141" s="6" t="s">
        <v>225</v>
      </c>
      <c r="T141" s="8" t="s">
        <v>35</v>
      </c>
      <c r="U141" s="6" t="s">
        <v>36</v>
      </c>
      <c r="V141" s="5" t="s">
        <v>37</v>
      </c>
      <c r="W141" s="9" t="s">
        <v>38</v>
      </c>
      <c r="X141" s="5" t="s">
        <v>38</v>
      </c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8.0" customHeight="1">
      <c r="A142" s="11">
        <v>140.0</v>
      </c>
      <c r="B142" s="12" t="s">
        <v>795</v>
      </c>
      <c r="C142" s="13" t="s">
        <v>796</v>
      </c>
      <c r="D142" s="14" t="s">
        <v>26</v>
      </c>
      <c r="E142" s="16" t="s">
        <v>797</v>
      </c>
      <c r="F142" s="13">
        <f t="shared" si="1"/>
        <v>37</v>
      </c>
      <c r="G142" s="13">
        <f t="shared" si="2"/>
        <v>3</v>
      </c>
      <c r="H142" s="13" t="s">
        <v>798</v>
      </c>
      <c r="I142" s="14" t="str">
        <f t="shared" si="4"/>
        <v>enero</v>
      </c>
      <c r="J142" s="14" t="s">
        <v>799</v>
      </c>
      <c r="K142" s="14" t="s">
        <v>29</v>
      </c>
      <c r="L142" s="14" t="s">
        <v>800</v>
      </c>
      <c r="M142" s="14">
        <v>3.2145266E7</v>
      </c>
      <c r="N142" s="14" t="s">
        <v>31</v>
      </c>
      <c r="O142" s="14" t="s">
        <v>32</v>
      </c>
      <c r="P142" s="16" t="s">
        <v>801</v>
      </c>
      <c r="Q142" s="22">
        <f t="shared" si="5"/>
        <v>3</v>
      </c>
      <c r="R142" s="13">
        <f t="shared" si="6"/>
        <v>11</v>
      </c>
      <c r="S142" s="14" t="s">
        <v>34</v>
      </c>
      <c r="T142" s="8" t="s">
        <v>35</v>
      </c>
      <c r="U142" s="14" t="s">
        <v>47</v>
      </c>
      <c r="V142" s="13" t="s">
        <v>48</v>
      </c>
      <c r="W142" s="9" t="s">
        <v>38</v>
      </c>
      <c r="X142" s="13" t="s">
        <v>38</v>
      </c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</row>
    <row r="143" ht="18.0" customHeight="1">
      <c r="A143" s="3">
        <v>141.0</v>
      </c>
      <c r="B143" s="4" t="s">
        <v>802</v>
      </c>
      <c r="C143" s="5" t="s">
        <v>803</v>
      </c>
      <c r="D143" s="6" t="s">
        <v>26</v>
      </c>
      <c r="E143" s="7" t="s">
        <v>804</v>
      </c>
      <c r="F143" s="5">
        <f t="shared" si="1"/>
        <v>35</v>
      </c>
      <c r="G143" s="5">
        <f t="shared" si="2"/>
        <v>13</v>
      </c>
      <c r="H143" s="5">
        <f t="shared" ref="H143:H182" si="7">MONTH(E142)</f>
        <v>9</v>
      </c>
      <c r="I143" s="6" t="str">
        <f t="shared" si="4"/>
        <v>septiembre</v>
      </c>
      <c r="J143" s="6" t="s">
        <v>805</v>
      </c>
      <c r="K143" s="6" t="s">
        <v>29</v>
      </c>
      <c r="L143" s="6" t="s">
        <v>806</v>
      </c>
      <c r="M143" s="6">
        <v>9.1342171E7</v>
      </c>
      <c r="N143" s="6" t="s">
        <v>31</v>
      </c>
      <c r="O143" s="6" t="s">
        <v>32</v>
      </c>
      <c r="P143" s="7" t="s">
        <v>807</v>
      </c>
      <c r="Q143" s="5">
        <f t="shared" si="5"/>
        <v>4</v>
      </c>
      <c r="R143" s="5">
        <f t="shared" si="6"/>
        <v>9</v>
      </c>
      <c r="S143" s="6" t="s">
        <v>34</v>
      </c>
      <c r="T143" s="8" t="s">
        <v>35</v>
      </c>
      <c r="U143" s="6" t="s">
        <v>36</v>
      </c>
      <c r="V143" s="5" t="s">
        <v>37</v>
      </c>
      <c r="W143" s="9" t="s">
        <v>38</v>
      </c>
      <c r="X143" s="5" t="s">
        <v>38</v>
      </c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8.0" customHeight="1">
      <c r="A144" s="11">
        <v>142.0</v>
      </c>
      <c r="B144" s="12" t="s">
        <v>808</v>
      </c>
      <c r="C144" s="13" t="s">
        <v>809</v>
      </c>
      <c r="D144" s="14" t="s">
        <v>26</v>
      </c>
      <c r="E144" s="16" t="s">
        <v>810</v>
      </c>
      <c r="F144" s="13">
        <f t="shared" si="1"/>
        <v>37</v>
      </c>
      <c r="G144" s="13">
        <f t="shared" si="2"/>
        <v>26</v>
      </c>
      <c r="H144" s="13">
        <f t="shared" si="7"/>
        <v>6</v>
      </c>
      <c r="I144" s="14" t="str">
        <f t="shared" si="4"/>
        <v>junio</v>
      </c>
      <c r="J144" s="14" t="s">
        <v>811</v>
      </c>
      <c r="K144" s="14" t="s">
        <v>29</v>
      </c>
      <c r="L144" s="14" t="s">
        <v>812</v>
      </c>
      <c r="M144" s="14">
        <v>9.409336E7</v>
      </c>
      <c r="N144" s="14" t="s">
        <v>61</v>
      </c>
      <c r="O144" s="14" t="s">
        <v>32</v>
      </c>
      <c r="P144" s="16" t="s">
        <v>813</v>
      </c>
      <c r="Q144" s="13">
        <f t="shared" si="5"/>
        <v>13</v>
      </c>
      <c r="R144" s="13">
        <f t="shared" si="6"/>
        <v>3</v>
      </c>
      <c r="S144" s="14" t="s">
        <v>46</v>
      </c>
      <c r="T144" s="8" t="s">
        <v>35</v>
      </c>
      <c r="U144" s="14" t="s">
        <v>36</v>
      </c>
      <c r="V144" s="13" t="s">
        <v>37</v>
      </c>
      <c r="W144" s="9" t="s">
        <v>38</v>
      </c>
      <c r="X144" s="13" t="s">
        <v>38</v>
      </c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</row>
    <row r="145" ht="18.0" customHeight="1">
      <c r="A145" s="3">
        <v>143.0</v>
      </c>
      <c r="B145" s="4" t="s">
        <v>814</v>
      </c>
      <c r="C145" s="5" t="s">
        <v>815</v>
      </c>
      <c r="D145" s="6" t="s">
        <v>26</v>
      </c>
      <c r="E145" s="7" t="s">
        <v>816</v>
      </c>
      <c r="F145" s="5">
        <f t="shared" si="1"/>
        <v>49</v>
      </c>
      <c r="G145" s="5">
        <f t="shared" si="2"/>
        <v>5</v>
      </c>
      <c r="H145" s="5">
        <f t="shared" si="7"/>
        <v>8</v>
      </c>
      <c r="I145" s="6" t="str">
        <f t="shared" si="4"/>
        <v>agosto</v>
      </c>
      <c r="J145" s="6" t="s">
        <v>817</v>
      </c>
      <c r="K145" s="6" t="s">
        <v>29</v>
      </c>
      <c r="L145" s="6" t="s">
        <v>818</v>
      </c>
      <c r="M145" s="6">
        <v>5.7451258E7</v>
      </c>
      <c r="N145" s="6" t="s">
        <v>249</v>
      </c>
      <c r="O145" s="6" t="s">
        <v>32</v>
      </c>
      <c r="P145" s="7" t="s">
        <v>819</v>
      </c>
      <c r="Q145" s="5">
        <f t="shared" si="5"/>
        <v>27</v>
      </c>
      <c r="R145" s="5">
        <f t="shared" si="6"/>
        <v>6</v>
      </c>
      <c r="S145" s="6" t="s">
        <v>265</v>
      </c>
      <c r="T145" s="8" t="s">
        <v>35</v>
      </c>
      <c r="U145" s="6" t="s">
        <v>36</v>
      </c>
      <c r="V145" s="5" t="s">
        <v>37</v>
      </c>
      <c r="W145" s="9" t="s">
        <v>38</v>
      </c>
      <c r="X145" s="5" t="s">
        <v>38</v>
      </c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8.0" customHeight="1">
      <c r="A146" s="11">
        <v>144.0</v>
      </c>
      <c r="B146" s="12" t="s">
        <v>820</v>
      </c>
      <c r="C146" s="13" t="s">
        <v>821</v>
      </c>
      <c r="D146" s="14" t="s">
        <v>228</v>
      </c>
      <c r="E146" s="15">
        <v>13992.0</v>
      </c>
      <c r="F146" s="13">
        <f t="shared" si="1"/>
        <v>64</v>
      </c>
      <c r="G146" s="13">
        <f t="shared" si="2"/>
        <v>5</v>
      </c>
      <c r="H146" s="13">
        <f t="shared" si="7"/>
        <v>2</v>
      </c>
      <c r="I146" s="14" t="str">
        <f t="shared" si="4"/>
        <v>febrero</v>
      </c>
      <c r="J146" s="14" t="s">
        <v>822</v>
      </c>
      <c r="K146" s="14" t="s">
        <v>29</v>
      </c>
      <c r="L146" s="14" t="s">
        <v>823</v>
      </c>
      <c r="M146" s="14">
        <v>9.3372025E7</v>
      </c>
      <c r="N146" s="14" t="s">
        <v>70</v>
      </c>
      <c r="O146" s="14" t="s">
        <v>92</v>
      </c>
      <c r="P146" s="16" t="s">
        <v>824</v>
      </c>
      <c r="Q146" s="13">
        <f t="shared" si="5"/>
        <v>17</v>
      </c>
      <c r="R146" s="13">
        <f t="shared" si="6"/>
        <v>11</v>
      </c>
      <c r="S146" s="14" t="s">
        <v>825</v>
      </c>
      <c r="T146" s="8" t="s">
        <v>35</v>
      </c>
      <c r="U146" s="14" t="s">
        <v>36</v>
      </c>
      <c r="V146" s="13" t="s">
        <v>37</v>
      </c>
      <c r="W146" s="26"/>
      <c r="X146" s="26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8.0" customHeight="1">
      <c r="A147" s="3">
        <v>145.0</v>
      </c>
      <c r="B147" s="4" t="s">
        <v>826</v>
      </c>
      <c r="C147" s="5" t="s">
        <v>827</v>
      </c>
      <c r="D147" s="6" t="s">
        <v>26</v>
      </c>
      <c r="E147" s="7" t="s">
        <v>828</v>
      </c>
      <c r="F147" s="5">
        <f t="shared" si="1"/>
        <v>88</v>
      </c>
      <c r="G147" s="5">
        <f t="shared" si="2"/>
        <v>22</v>
      </c>
      <c r="H147" s="5">
        <f t="shared" si="7"/>
        <v>4</v>
      </c>
      <c r="I147" s="6" t="str">
        <f t="shared" si="4"/>
        <v>abril</v>
      </c>
      <c r="J147" s="6" t="s">
        <v>829</v>
      </c>
      <c r="K147" s="6" t="s">
        <v>53</v>
      </c>
      <c r="L147" s="6" t="s">
        <v>830</v>
      </c>
      <c r="M147" s="6">
        <v>4.2305184E7</v>
      </c>
      <c r="N147" s="6" t="s">
        <v>31</v>
      </c>
      <c r="O147" s="6" t="s">
        <v>32</v>
      </c>
      <c r="P147" s="7" t="s">
        <v>831</v>
      </c>
      <c r="Q147" s="5">
        <f t="shared" si="5"/>
        <v>5</v>
      </c>
      <c r="R147" s="5">
        <f t="shared" si="6"/>
        <v>9</v>
      </c>
      <c r="S147" s="6" t="s">
        <v>832</v>
      </c>
      <c r="T147" s="8" t="s">
        <v>35</v>
      </c>
      <c r="U147" s="6" t="s">
        <v>36</v>
      </c>
      <c r="V147" s="5" t="s">
        <v>37</v>
      </c>
      <c r="W147" s="28"/>
      <c r="X147" s="5" t="s">
        <v>38</v>
      </c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30"/>
      <c r="AK147" s="29"/>
      <c r="AL147" s="30"/>
      <c r="AM147" s="30"/>
      <c r="AN147" s="30"/>
    </row>
    <row r="148" ht="18.0" customHeight="1">
      <c r="A148" s="11">
        <v>146.0</v>
      </c>
      <c r="B148" s="12" t="s">
        <v>833</v>
      </c>
      <c r="C148" s="13" t="s">
        <v>834</v>
      </c>
      <c r="D148" s="14" t="s">
        <v>26</v>
      </c>
      <c r="E148" s="16" t="s">
        <v>835</v>
      </c>
      <c r="F148" s="13">
        <f t="shared" si="1"/>
        <v>40</v>
      </c>
      <c r="G148" s="13">
        <f t="shared" si="2"/>
        <v>28</v>
      </c>
      <c r="H148" s="13">
        <f t="shared" si="7"/>
        <v>10</v>
      </c>
      <c r="I148" s="14" t="str">
        <f t="shared" si="4"/>
        <v>octubre</v>
      </c>
      <c r="J148" s="14" t="s">
        <v>836</v>
      </c>
      <c r="K148" s="14" t="s">
        <v>43</v>
      </c>
      <c r="L148" s="14" t="s">
        <v>837</v>
      </c>
      <c r="M148" s="14">
        <v>9.7172035E7</v>
      </c>
      <c r="N148" s="14" t="s">
        <v>83</v>
      </c>
      <c r="O148" s="14" t="s">
        <v>100</v>
      </c>
      <c r="P148" s="16" t="s">
        <v>838</v>
      </c>
      <c r="Q148" s="13">
        <f t="shared" si="5"/>
        <v>6</v>
      </c>
      <c r="R148" s="13">
        <f t="shared" si="6"/>
        <v>9</v>
      </c>
      <c r="S148" s="14" t="s">
        <v>250</v>
      </c>
      <c r="T148" s="8" t="s">
        <v>35</v>
      </c>
      <c r="U148" s="14" t="s">
        <v>36</v>
      </c>
      <c r="V148" s="13" t="s">
        <v>37</v>
      </c>
      <c r="W148" s="26"/>
      <c r="X148" s="13" t="s">
        <v>38</v>
      </c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31"/>
      <c r="AK148" s="27"/>
      <c r="AL148" s="31"/>
      <c r="AM148" s="31"/>
      <c r="AN148" s="31"/>
    </row>
    <row r="149" ht="18.0" customHeight="1">
      <c r="A149" s="3">
        <v>147.0</v>
      </c>
      <c r="B149" s="4" t="s">
        <v>839</v>
      </c>
      <c r="C149" s="5" t="s">
        <v>840</v>
      </c>
      <c r="D149" s="6" t="s">
        <v>26</v>
      </c>
      <c r="E149" s="20">
        <v>35720.0</v>
      </c>
      <c r="F149" s="5">
        <f t="shared" si="1"/>
        <v>44</v>
      </c>
      <c r="G149" s="5">
        <f t="shared" si="2"/>
        <v>27</v>
      </c>
      <c r="H149" s="5">
        <f t="shared" si="7"/>
        <v>5</v>
      </c>
      <c r="I149" s="6" t="str">
        <f t="shared" si="4"/>
        <v>mayo</v>
      </c>
      <c r="J149" s="6" t="s">
        <v>841</v>
      </c>
      <c r="K149" s="6" t="s">
        <v>89</v>
      </c>
      <c r="L149" s="6" t="s">
        <v>842</v>
      </c>
      <c r="M149" s="6">
        <v>5.6986609523E10</v>
      </c>
      <c r="N149" s="6" t="s">
        <v>70</v>
      </c>
      <c r="O149" s="6" t="s">
        <v>32</v>
      </c>
      <c r="P149" s="7" t="s">
        <v>843</v>
      </c>
      <c r="Q149" s="5">
        <f t="shared" si="5"/>
        <v>16</v>
      </c>
      <c r="R149" s="5">
        <f t="shared" si="6"/>
        <v>1</v>
      </c>
      <c r="S149" s="6" t="s">
        <v>64</v>
      </c>
      <c r="T149" s="8" t="s">
        <v>35</v>
      </c>
      <c r="U149" s="6" t="s">
        <v>36</v>
      </c>
      <c r="V149" s="5" t="s">
        <v>37</v>
      </c>
      <c r="W149" s="9" t="s">
        <v>38</v>
      </c>
      <c r="X149" s="5" t="s">
        <v>38</v>
      </c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8.0" customHeight="1">
      <c r="A150" s="11">
        <v>148.0</v>
      </c>
      <c r="B150" s="12" t="s">
        <v>844</v>
      </c>
      <c r="C150" s="13" t="s">
        <v>845</v>
      </c>
      <c r="D150" s="14" t="s">
        <v>26</v>
      </c>
      <c r="E150" s="15">
        <v>34202.0</v>
      </c>
      <c r="F150" s="13">
        <f t="shared" si="1"/>
        <v>28</v>
      </c>
      <c r="G150" s="13">
        <f t="shared" si="2"/>
        <v>17</v>
      </c>
      <c r="H150" s="13">
        <f t="shared" si="7"/>
        <v>10</v>
      </c>
      <c r="I150" s="14" t="str">
        <f t="shared" si="4"/>
        <v>octubre</v>
      </c>
      <c r="J150" s="14" t="s">
        <v>846</v>
      </c>
      <c r="K150" s="14" t="s">
        <v>68</v>
      </c>
      <c r="L150" s="14" t="s">
        <v>847</v>
      </c>
      <c r="M150" s="14">
        <v>9.78654966E8</v>
      </c>
      <c r="N150" s="14" t="s">
        <v>31</v>
      </c>
      <c r="O150" s="14" t="s">
        <v>32</v>
      </c>
      <c r="P150" s="16" t="s">
        <v>848</v>
      </c>
      <c r="Q150" s="13">
        <f t="shared" si="5"/>
        <v>1</v>
      </c>
      <c r="R150" s="13">
        <f t="shared" si="6"/>
        <v>6</v>
      </c>
      <c r="S150" s="14" t="s">
        <v>250</v>
      </c>
      <c r="T150" s="8" t="s">
        <v>35</v>
      </c>
      <c r="U150" s="14" t="s">
        <v>36</v>
      </c>
      <c r="V150" s="13" t="s">
        <v>37</v>
      </c>
      <c r="W150" s="26"/>
      <c r="X150" s="1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31"/>
      <c r="AK150" s="27"/>
      <c r="AL150" s="31"/>
      <c r="AM150" s="31"/>
      <c r="AN150" s="31"/>
    </row>
    <row r="151" ht="18.0" customHeight="1">
      <c r="A151" s="3">
        <v>149.0</v>
      </c>
      <c r="B151" s="4" t="s">
        <v>849</v>
      </c>
      <c r="C151" s="5" t="s">
        <v>850</v>
      </c>
      <c r="D151" s="6" t="s">
        <v>26</v>
      </c>
      <c r="E151" s="20">
        <v>35976.0</v>
      </c>
      <c r="F151" s="5">
        <f t="shared" si="1"/>
        <v>32</v>
      </c>
      <c r="G151" s="5">
        <f t="shared" si="2"/>
        <v>21</v>
      </c>
      <c r="H151" s="5">
        <f t="shared" si="7"/>
        <v>8</v>
      </c>
      <c r="I151" s="6" t="str">
        <f t="shared" si="4"/>
        <v>agosto</v>
      </c>
      <c r="J151" s="6" t="s">
        <v>851</v>
      </c>
      <c r="K151" s="6" t="s">
        <v>852</v>
      </c>
      <c r="L151" s="6" t="s">
        <v>853</v>
      </c>
      <c r="M151" s="6">
        <v>5.6974527614E10</v>
      </c>
      <c r="N151" s="6" t="s">
        <v>854</v>
      </c>
      <c r="O151" s="6" t="s">
        <v>62</v>
      </c>
      <c r="P151" s="7" t="s">
        <v>855</v>
      </c>
      <c r="Q151" s="5">
        <f t="shared" si="5"/>
        <v>4</v>
      </c>
      <c r="R151" s="5">
        <f t="shared" si="6"/>
        <v>7</v>
      </c>
      <c r="S151" s="6" t="s">
        <v>856</v>
      </c>
      <c r="T151" s="8" t="s">
        <v>35</v>
      </c>
      <c r="U151" s="6" t="s">
        <v>36</v>
      </c>
      <c r="V151" s="5" t="s">
        <v>37</v>
      </c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8.0" customHeight="1">
      <c r="A152" s="11">
        <v>150.0</v>
      </c>
      <c r="B152" s="12" t="s">
        <v>857</v>
      </c>
      <c r="C152" s="13" t="s">
        <v>858</v>
      </c>
      <c r="D152" s="14" t="s">
        <v>26</v>
      </c>
      <c r="E152" s="16" t="s">
        <v>859</v>
      </c>
      <c r="F152" s="13">
        <f t="shared" si="1"/>
        <v>27</v>
      </c>
      <c r="G152" s="13">
        <f t="shared" si="2"/>
        <v>30</v>
      </c>
      <c r="H152" s="13">
        <f t="shared" si="7"/>
        <v>6</v>
      </c>
      <c r="I152" s="14" t="str">
        <f t="shared" si="4"/>
        <v>junio</v>
      </c>
      <c r="J152" s="14" t="s">
        <v>860</v>
      </c>
      <c r="K152" s="14" t="s">
        <v>68</v>
      </c>
      <c r="L152" s="14" t="s">
        <v>861</v>
      </c>
      <c r="M152" s="14">
        <v>6.3899098E7</v>
      </c>
      <c r="N152" s="14" t="s">
        <v>91</v>
      </c>
      <c r="O152" s="14" t="s">
        <v>100</v>
      </c>
      <c r="P152" s="16" t="s">
        <v>862</v>
      </c>
      <c r="Q152" s="13">
        <f t="shared" si="5"/>
        <v>1</v>
      </c>
      <c r="R152" s="13">
        <f t="shared" si="6"/>
        <v>8</v>
      </c>
      <c r="S152" s="14" t="s">
        <v>64</v>
      </c>
      <c r="T152" s="8" t="s">
        <v>35</v>
      </c>
      <c r="U152" s="14" t="s">
        <v>36</v>
      </c>
      <c r="V152" s="13" t="s">
        <v>37</v>
      </c>
      <c r="W152" s="9" t="s">
        <v>38</v>
      </c>
      <c r="X152" s="13" t="s">
        <v>38</v>
      </c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31"/>
      <c r="AK152" s="27"/>
      <c r="AL152" s="31"/>
      <c r="AM152" s="31"/>
      <c r="AN152" s="31"/>
    </row>
    <row r="153" ht="18.0" customHeight="1">
      <c r="A153" s="3">
        <v>151.0</v>
      </c>
      <c r="B153" s="4" t="s">
        <v>863</v>
      </c>
      <c r="C153" s="5" t="s">
        <v>864</v>
      </c>
      <c r="D153" s="6" t="s">
        <v>26</v>
      </c>
      <c r="E153" s="7" t="s">
        <v>865</v>
      </c>
      <c r="F153" s="5">
        <f t="shared" si="1"/>
        <v>50</v>
      </c>
      <c r="G153" s="5">
        <f t="shared" si="2"/>
        <v>29</v>
      </c>
      <c r="H153" s="5">
        <f t="shared" si="7"/>
        <v>11</v>
      </c>
      <c r="I153" s="6" t="str">
        <f t="shared" si="4"/>
        <v>noviembre</v>
      </c>
      <c r="J153" s="6" t="s">
        <v>866</v>
      </c>
      <c r="K153" s="6" t="s">
        <v>29</v>
      </c>
      <c r="L153" s="23" t="s">
        <v>867</v>
      </c>
      <c r="M153" s="6">
        <v>7.5392167E7</v>
      </c>
      <c r="N153" s="6" t="s">
        <v>868</v>
      </c>
      <c r="O153" s="6" t="s">
        <v>92</v>
      </c>
      <c r="P153" s="7" t="s">
        <v>869</v>
      </c>
      <c r="Q153" s="5">
        <f t="shared" si="5"/>
        <v>11</v>
      </c>
      <c r="R153" s="5">
        <f t="shared" si="6"/>
        <v>10</v>
      </c>
      <c r="S153" s="6" t="s">
        <v>250</v>
      </c>
      <c r="T153" s="8" t="s">
        <v>35</v>
      </c>
      <c r="U153" s="6" t="s">
        <v>36</v>
      </c>
      <c r="V153" s="5" t="s">
        <v>37</v>
      </c>
      <c r="W153" s="28"/>
      <c r="X153" s="5" t="s">
        <v>38</v>
      </c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30"/>
      <c r="AK153" s="29"/>
      <c r="AL153" s="30"/>
      <c r="AM153" s="30"/>
      <c r="AN153" s="30"/>
    </row>
    <row r="154" ht="18.0" customHeight="1">
      <c r="A154" s="11">
        <v>152.0</v>
      </c>
      <c r="B154" s="12" t="s">
        <v>870</v>
      </c>
      <c r="C154" s="13" t="s">
        <v>871</v>
      </c>
      <c r="D154" s="14" t="s">
        <v>26</v>
      </c>
      <c r="E154" s="16" t="s">
        <v>872</v>
      </c>
      <c r="F154" s="13">
        <f t="shared" si="1"/>
        <v>44</v>
      </c>
      <c r="G154" s="13">
        <f t="shared" si="2"/>
        <v>16</v>
      </c>
      <c r="H154" s="13">
        <f t="shared" si="7"/>
        <v>3</v>
      </c>
      <c r="I154" s="14" t="str">
        <f t="shared" si="4"/>
        <v>marzo</v>
      </c>
      <c r="J154" s="14" t="s">
        <v>873</v>
      </c>
      <c r="K154" s="14" t="s">
        <v>571</v>
      </c>
      <c r="L154" s="14" t="s">
        <v>874</v>
      </c>
      <c r="M154" s="14">
        <v>8.9425357E7</v>
      </c>
      <c r="N154" s="14" t="s">
        <v>83</v>
      </c>
      <c r="O154" s="14" t="s">
        <v>32</v>
      </c>
      <c r="P154" s="16" t="s">
        <v>875</v>
      </c>
      <c r="Q154" s="13">
        <f t="shared" si="5"/>
        <v>15</v>
      </c>
      <c r="R154" s="13">
        <f t="shared" si="6"/>
        <v>5</v>
      </c>
      <c r="S154" s="14" t="s">
        <v>284</v>
      </c>
      <c r="T154" s="8" t="s">
        <v>35</v>
      </c>
      <c r="U154" s="14" t="s">
        <v>47</v>
      </c>
      <c r="V154" s="13" t="s">
        <v>48</v>
      </c>
      <c r="W154" s="9" t="s">
        <v>38</v>
      </c>
      <c r="X154" s="13" t="s">
        <v>38</v>
      </c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31"/>
      <c r="AK154" s="27"/>
      <c r="AL154" s="31"/>
      <c r="AM154" s="31"/>
      <c r="AN154" s="31"/>
    </row>
    <row r="155" ht="18.0" customHeight="1">
      <c r="A155" s="3">
        <v>153.0</v>
      </c>
      <c r="B155" s="4" t="s">
        <v>876</v>
      </c>
      <c r="C155" s="5" t="s">
        <v>877</v>
      </c>
      <c r="D155" s="6" t="s">
        <v>41</v>
      </c>
      <c r="E155" s="7" t="s">
        <v>878</v>
      </c>
      <c r="F155" s="5">
        <f t="shared" si="1"/>
        <v>30</v>
      </c>
      <c r="G155" s="5">
        <f t="shared" si="2"/>
        <v>19</v>
      </c>
      <c r="H155" s="5">
        <f t="shared" si="7"/>
        <v>1</v>
      </c>
      <c r="I155" s="6" t="str">
        <f t="shared" si="4"/>
        <v>enero</v>
      </c>
      <c r="J155" s="6" t="s">
        <v>879</v>
      </c>
      <c r="K155" s="6" t="s">
        <v>89</v>
      </c>
      <c r="L155" s="6" t="s">
        <v>880</v>
      </c>
      <c r="M155" s="6">
        <v>9.6270878E7</v>
      </c>
      <c r="N155" s="6" t="s">
        <v>91</v>
      </c>
      <c r="O155" s="6" t="s">
        <v>32</v>
      </c>
      <c r="P155" s="7" t="s">
        <v>881</v>
      </c>
      <c r="Q155" s="5">
        <f t="shared" si="5"/>
        <v>5</v>
      </c>
      <c r="R155" s="5">
        <f t="shared" si="6"/>
        <v>1</v>
      </c>
      <c r="S155" s="6" t="s">
        <v>225</v>
      </c>
      <c r="T155" s="8" t="s">
        <v>35</v>
      </c>
      <c r="U155" s="6" t="s">
        <v>36</v>
      </c>
      <c r="V155" s="5" t="s">
        <v>37</v>
      </c>
      <c r="W155" s="28"/>
      <c r="X155" s="5" t="s">
        <v>38</v>
      </c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30"/>
      <c r="AK155" s="28"/>
      <c r="AL155" s="30"/>
      <c r="AM155" s="30"/>
      <c r="AN155" s="30"/>
    </row>
    <row r="156" ht="18.0" customHeight="1">
      <c r="A156" s="11">
        <v>154.0</v>
      </c>
      <c r="B156" s="12" t="s">
        <v>882</v>
      </c>
      <c r="C156" s="13" t="s">
        <v>883</v>
      </c>
      <c r="D156" s="14" t="s">
        <v>41</v>
      </c>
      <c r="E156" s="16" t="s">
        <v>884</v>
      </c>
      <c r="F156" s="13">
        <f t="shared" si="1"/>
        <v>57</v>
      </c>
      <c r="G156" s="13">
        <f t="shared" si="2"/>
        <v>6</v>
      </c>
      <c r="H156" s="13">
        <f t="shared" si="7"/>
        <v>1</v>
      </c>
      <c r="I156" s="14" t="str">
        <f t="shared" si="4"/>
        <v>enero</v>
      </c>
      <c r="J156" s="14" t="s">
        <v>885</v>
      </c>
      <c r="K156" s="14" t="s">
        <v>29</v>
      </c>
      <c r="L156" s="14" t="s">
        <v>886</v>
      </c>
      <c r="M156" s="14">
        <v>6.4019416E7</v>
      </c>
      <c r="N156" s="14" t="s">
        <v>31</v>
      </c>
      <c r="O156" s="14" t="s">
        <v>32</v>
      </c>
      <c r="P156" s="16" t="s">
        <v>887</v>
      </c>
      <c r="Q156" s="13">
        <f t="shared" si="5"/>
        <v>21</v>
      </c>
      <c r="R156" s="13">
        <f t="shared" si="6"/>
        <v>9</v>
      </c>
      <c r="S156" s="14" t="s">
        <v>888</v>
      </c>
      <c r="T156" s="8" t="s">
        <v>35</v>
      </c>
      <c r="U156" s="14" t="s">
        <v>47</v>
      </c>
      <c r="V156" s="13" t="s">
        <v>48</v>
      </c>
      <c r="W156" s="17"/>
      <c r="X156" s="13" t="s">
        <v>38</v>
      </c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31"/>
      <c r="AK156" s="26"/>
      <c r="AL156" s="31"/>
      <c r="AM156" s="31"/>
      <c r="AN156" s="31"/>
    </row>
    <row r="157" ht="18.0" customHeight="1">
      <c r="A157" s="3">
        <v>155.0</v>
      </c>
      <c r="B157" s="4" t="s">
        <v>889</v>
      </c>
      <c r="C157" s="5" t="s">
        <v>890</v>
      </c>
      <c r="D157" s="6" t="s">
        <v>26</v>
      </c>
      <c r="E157" s="7" t="s">
        <v>891</v>
      </c>
      <c r="F157" s="5">
        <f t="shared" si="1"/>
        <v>48</v>
      </c>
      <c r="G157" s="5">
        <f t="shared" si="2"/>
        <v>20</v>
      </c>
      <c r="H157" s="5">
        <f t="shared" si="7"/>
        <v>4</v>
      </c>
      <c r="I157" s="6" t="str">
        <f t="shared" si="4"/>
        <v>abril</v>
      </c>
      <c r="J157" s="6" t="s">
        <v>892</v>
      </c>
      <c r="K157" s="6" t="s">
        <v>68</v>
      </c>
      <c r="L157" s="6" t="s">
        <v>893</v>
      </c>
      <c r="M157" s="6">
        <v>9.4509038E7</v>
      </c>
      <c r="N157" s="6" t="s">
        <v>91</v>
      </c>
      <c r="O157" s="6" t="s">
        <v>62</v>
      </c>
      <c r="P157" s="7" t="s">
        <v>894</v>
      </c>
      <c r="Q157" s="5">
        <f t="shared" si="5"/>
        <v>5</v>
      </c>
      <c r="R157" s="5">
        <f t="shared" si="6"/>
        <v>0</v>
      </c>
      <c r="S157" s="6" t="s">
        <v>94</v>
      </c>
      <c r="T157" s="8" t="s">
        <v>35</v>
      </c>
      <c r="U157" s="6" t="s">
        <v>36</v>
      </c>
      <c r="V157" s="5" t="s">
        <v>37</v>
      </c>
      <c r="W157" s="28"/>
      <c r="X157" s="10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30"/>
      <c r="AK157" s="29"/>
      <c r="AL157" s="30"/>
      <c r="AM157" s="30"/>
      <c r="AN157" s="30"/>
    </row>
    <row r="158" ht="18.0" customHeight="1">
      <c r="A158" s="11">
        <v>156.0</v>
      </c>
      <c r="B158" s="12" t="s">
        <v>895</v>
      </c>
      <c r="C158" s="13" t="s">
        <v>896</v>
      </c>
      <c r="D158" s="14" t="s">
        <v>26</v>
      </c>
      <c r="E158" s="16" t="s">
        <v>897</v>
      </c>
      <c r="F158" s="13">
        <f t="shared" si="1"/>
        <v>43</v>
      </c>
      <c r="G158" s="13">
        <f t="shared" si="2"/>
        <v>7</v>
      </c>
      <c r="H158" s="13">
        <f t="shared" si="7"/>
        <v>3</v>
      </c>
      <c r="I158" s="14" t="str">
        <f t="shared" si="4"/>
        <v>marzo</v>
      </c>
      <c r="J158" s="14" t="s">
        <v>898</v>
      </c>
      <c r="K158" s="14" t="s">
        <v>68</v>
      </c>
      <c r="L158" s="14" t="s">
        <v>899</v>
      </c>
      <c r="M158" s="14">
        <v>9.0202529E7</v>
      </c>
      <c r="N158" s="14" t="s">
        <v>91</v>
      </c>
      <c r="O158" s="14" t="s">
        <v>32</v>
      </c>
      <c r="P158" s="16" t="s">
        <v>900</v>
      </c>
      <c r="Q158" s="13">
        <f t="shared" si="5"/>
        <v>13</v>
      </c>
      <c r="R158" s="13">
        <f t="shared" si="6"/>
        <v>5</v>
      </c>
      <c r="S158" s="14" t="s">
        <v>64</v>
      </c>
      <c r="T158" s="8" t="s">
        <v>35</v>
      </c>
      <c r="U158" s="14" t="s">
        <v>47</v>
      </c>
      <c r="V158" s="13" t="s">
        <v>48</v>
      </c>
      <c r="W158" s="9" t="s">
        <v>38</v>
      </c>
      <c r="X158" s="1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31"/>
      <c r="AK158" s="27"/>
      <c r="AL158" s="31"/>
      <c r="AM158" s="31"/>
      <c r="AN158" s="31"/>
    </row>
    <row r="159" ht="18.0" customHeight="1">
      <c r="A159" s="3">
        <v>157.0</v>
      </c>
      <c r="B159" s="4" t="s">
        <v>901</v>
      </c>
      <c r="C159" s="5" t="s">
        <v>902</v>
      </c>
      <c r="D159" s="6" t="s">
        <v>41</v>
      </c>
      <c r="E159" s="7" t="s">
        <v>903</v>
      </c>
      <c r="F159" s="5">
        <f t="shared" si="1"/>
        <v>50</v>
      </c>
      <c r="G159" s="5">
        <f t="shared" si="2"/>
        <v>10</v>
      </c>
      <c r="H159" s="5">
        <f t="shared" si="7"/>
        <v>10</v>
      </c>
      <c r="I159" s="6" t="str">
        <f t="shared" si="4"/>
        <v>octubre</v>
      </c>
      <c r="J159" s="6" t="s">
        <v>904</v>
      </c>
      <c r="K159" s="6" t="s">
        <v>29</v>
      </c>
      <c r="L159" s="6" t="s">
        <v>905</v>
      </c>
      <c r="M159" s="6">
        <v>9.37139418E8</v>
      </c>
      <c r="N159" s="6" t="s">
        <v>31</v>
      </c>
      <c r="O159" s="6" t="s">
        <v>32</v>
      </c>
      <c r="P159" s="7" t="s">
        <v>801</v>
      </c>
      <c r="Q159" s="32">
        <f t="shared" si="5"/>
        <v>8</v>
      </c>
      <c r="R159" s="5">
        <f t="shared" si="6"/>
        <v>6</v>
      </c>
      <c r="S159" s="6" t="s">
        <v>225</v>
      </c>
      <c r="T159" s="8" t="s">
        <v>35</v>
      </c>
      <c r="U159" s="6" t="s">
        <v>47</v>
      </c>
      <c r="V159" s="5" t="s">
        <v>48</v>
      </c>
      <c r="W159" s="9" t="s">
        <v>38</v>
      </c>
      <c r="X159" s="5" t="s">
        <v>38</v>
      </c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30"/>
      <c r="AK159" s="29"/>
      <c r="AL159" s="30"/>
      <c r="AM159" s="30"/>
      <c r="AN159" s="30"/>
    </row>
    <row r="160" ht="18.0" customHeight="1">
      <c r="A160" s="11">
        <v>158.0</v>
      </c>
      <c r="B160" s="12" t="s">
        <v>906</v>
      </c>
      <c r="C160" s="13" t="s">
        <v>907</v>
      </c>
      <c r="D160" s="14" t="s">
        <v>41</v>
      </c>
      <c r="E160" s="16" t="s">
        <v>908</v>
      </c>
      <c r="F160" s="13">
        <f t="shared" si="1"/>
        <v>55</v>
      </c>
      <c r="G160" s="13">
        <f t="shared" si="2"/>
        <v>7</v>
      </c>
      <c r="H160" s="13">
        <f t="shared" si="7"/>
        <v>2</v>
      </c>
      <c r="I160" s="14" t="str">
        <f t="shared" si="4"/>
        <v>febrero</v>
      </c>
      <c r="J160" s="14" t="s">
        <v>376</v>
      </c>
      <c r="K160" s="14" t="s">
        <v>29</v>
      </c>
      <c r="L160" s="14" t="s">
        <v>909</v>
      </c>
      <c r="M160" s="14">
        <v>3.296061E7</v>
      </c>
      <c r="N160" s="14" t="s">
        <v>70</v>
      </c>
      <c r="O160" s="14" t="s">
        <v>32</v>
      </c>
      <c r="P160" s="16" t="s">
        <v>910</v>
      </c>
      <c r="Q160" s="13">
        <f t="shared" si="5"/>
        <v>4</v>
      </c>
      <c r="R160" s="13">
        <f t="shared" si="6"/>
        <v>9</v>
      </c>
      <c r="S160" s="14" t="s">
        <v>911</v>
      </c>
      <c r="T160" s="8" t="s">
        <v>35</v>
      </c>
      <c r="U160" s="14" t="s">
        <v>36</v>
      </c>
      <c r="V160" s="13" t="s">
        <v>37</v>
      </c>
      <c r="W160" s="17"/>
      <c r="X160" s="13" t="s">
        <v>38</v>
      </c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31"/>
      <c r="AK160" s="27"/>
      <c r="AL160" s="31"/>
      <c r="AM160" s="31"/>
      <c r="AN160" s="31"/>
    </row>
    <row r="161" ht="18.0" customHeight="1">
      <c r="A161" s="3">
        <v>159.0</v>
      </c>
      <c r="B161" s="4" t="s">
        <v>912</v>
      </c>
      <c r="C161" s="5" t="s">
        <v>913</v>
      </c>
      <c r="D161" s="6" t="s">
        <v>26</v>
      </c>
      <c r="E161" s="7" t="s">
        <v>914</v>
      </c>
      <c r="F161" s="5">
        <f t="shared" si="1"/>
        <v>44</v>
      </c>
      <c r="G161" s="5">
        <f t="shared" si="2"/>
        <v>29</v>
      </c>
      <c r="H161" s="5">
        <f t="shared" si="7"/>
        <v>9</v>
      </c>
      <c r="I161" s="6" t="str">
        <f t="shared" si="4"/>
        <v>septiembre</v>
      </c>
      <c r="J161" s="6" t="s">
        <v>915</v>
      </c>
      <c r="K161" s="6" t="s">
        <v>89</v>
      </c>
      <c r="L161" s="6" t="s">
        <v>916</v>
      </c>
      <c r="M161" s="6">
        <v>9.6773683E7</v>
      </c>
      <c r="N161" s="6" t="s">
        <v>83</v>
      </c>
      <c r="O161" s="6" t="s">
        <v>100</v>
      </c>
      <c r="P161" s="7" t="s">
        <v>917</v>
      </c>
      <c r="Q161" s="5">
        <f t="shared" si="5"/>
        <v>7</v>
      </c>
      <c r="R161" s="5">
        <f t="shared" si="6"/>
        <v>6</v>
      </c>
      <c r="S161" s="6" t="s">
        <v>94</v>
      </c>
      <c r="T161" s="8" t="s">
        <v>35</v>
      </c>
      <c r="U161" s="6" t="s">
        <v>36</v>
      </c>
      <c r="V161" s="5" t="s">
        <v>37</v>
      </c>
      <c r="W161" s="28"/>
      <c r="X161" s="5" t="s">
        <v>38</v>
      </c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30"/>
      <c r="AK161" s="29"/>
      <c r="AL161" s="30"/>
      <c r="AM161" s="30"/>
      <c r="AN161" s="30"/>
    </row>
    <row r="162" ht="18.0" customHeight="1">
      <c r="A162" s="11">
        <v>160.0</v>
      </c>
      <c r="B162" s="12" t="s">
        <v>918</v>
      </c>
      <c r="C162" s="13" t="s">
        <v>919</v>
      </c>
      <c r="D162" s="14" t="s">
        <v>26</v>
      </c>
      <c r="E162" s="18">
        <v>33326.0</v>
      </c>
      <c r="F162" s="13">
        <f t="shared" si="1"/>
        <v>58</v>
      </c>
      <c r="G162" s="13">
        <f t="shared" si="2"/>
        <v>11</v>
      </c>
      <c r="H162" s="13">
        <f t="shared" si="7"/>
        <v>12</v>
      </c>
      <c r="I162" s="14" t="str">
        <f t="shared" si="4"/>
        <v>diciembre</v>
      </c>
      <c r="J162" s="14" t="s">
        <v>920</v>
      </c>
      <c r="K162" s="14" t="s">
        <v>29</v>
      </c>
      <c r="L162" s="14" t="s">
        <v>921</v>
      </c>
      <c r="M162" s="14">
        <v>9.4587056E7</v>
      </c>
      <c r="N162" s="14" t="s">
        <v>83</v>
      </c>
      <c r="O162" s="14" t="s">
        <v>32</v>
      </c>
      <c r="P162" s="16" t="s">
        <v>922</v>
      </c>
      <c r="Q162" s="13">
        <f t="shared" si="5"/>
        <v>33</v>
      </c>
      <c r="R162" s="13">
        <f t="shared" si="6"/>
        <v>5</v>
      </c>
      <c r="S162" s="14" t="s">
        <v>225</v>
      </c>
      <c r="T162" s="8" t="s">
        <v>35</v>
      </c>
      <c r="U162" s="14" t="s">
        <v>47</v>
      </c>
      <c r="V162" s="13" t="s">
        <v>48</v>
      </c>
      <c r="W162" s="9" t="s">
        <v>38</v>
      </c>
      <c r="X162" s="13" t="s">
        <v>38</v>
      </c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</row>
    <row r="163" ht="18.0" customHeight="1">
      <c r="A163" s="3">
        <v>161.0</v>
      </c>
      <c r="B163" s="4" t="s">
        <v>923</v>
      </c>
      <c r="C163" s="5" t="s">
        <v>924</v>
      </c>
      <c r="D163" s="6" t="s">
        <v>26</v>
      </c>
      <c r="E163" s="7" t="s">
        <v>925</v>
      </c>
      <c r="F163" s="5">
        <f t="shared" si="1"/>
        <v>35</v>
      </c>
      <c r="G163" s="5">
        <f t="shared" si="2"/>
        <v>29</v>
      </c>
      <c r="H163" s="5">
        <f t="shared" si="7"/>
        <v>3</v>
      </c>
      <c r="I163" s="6" t="str">
        <f t="shared" si="4"/>
        <v>marzo</v>
      </c>
      <c r="J163" s="6" t="s">
        <v>926</v>
      </c>
      <c r="K163" s="6" t="s">
        <v>29</v>
      </c>
      <c r="L163" s="6" t="s">
        <v>927</v>
      </c>
      <c r="M163" s="6">
        <v>7.7212425E7</v>
      </c>
      <c r="N163" s="6" t="s">
        <v>61</v>
      </c>
      <c r="O163" s="6" t="s">
        <v>32</v>
      </c>
      <c r="P163" s="7" t="s">
        <v>928</v>
      </c>
      <c r="Q163" s="5">
        <f t="shared" si="5"/>
        <v>2</v>
      </c>
      <c r="R163" s="5">
        <f t="shared" si="6"/>
        <v>0</v>
      </c>
      <c r="S163" s="6" t="s">
        <v>34</v>
      </c>
      <c r="T163" s="8" t="s">
        <v>35</v>
      </c>
      <c r="U163" s="6" t="s">
        <v>36</v>
      </c>
      <c r="V163" s="5" t="s">
        <v>37</v>
      </c>
      <c r="W163" s="9" t="s">
        <v>38</v>
      </c>
      <c r="X163" s="5" t="s">
        <v>38</v>
      </c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30"/>
      <c r="AK163" s="29"/>
      <c r="AL163" s="30"/>
      <c r="AM163" s="30"/>
      <c r="AN163" s="30"/>
    </row>
    <row r="164" ht="18.0" customHeight="1">
      <c r="A164" s="11">
        <v>162.0</v>
      </c>
      <c r="B164" s="12" t="s">
        <v>929</v>
      </c>
      <c r="C164" s="13" t="s">
        <v>930</v>
      </c>
      <c r="D164" s="14" t="s">
        <v>26</v>
      </c>
      <c r="E164" s="16" t="s">
        <v>931</v>
      </c>
      <c r="F164" s="13">
        <f t="shared" si="1"/>
        <v>36</v>
      </c>
      <c r="G164" s="13">
        <f t="shared" si="2"/>
        <v>9</v>
      </c>
      <c r="H164" s="13">
        <f t="shared" si="7"/>
        <v>2</v>
      </c>
      <c r="I164" s="14" t="str">
        <f t="shared" si="4"/>
        <v>febrero</v>
      </c>
      <c r="J164" s="14" t="s">
        <v>932</v>
      </c>
      <c r="K164" s="14" t="s">
        <v>29</v>
      </c>
      <c r="L164" s="14" t="s">
        <v>933</v>
      </c>
      <c r="M164" s="14">
        <v>7.8887114E7</v>
      </c>
      <c r="N164" s="14" t="s">
        <v>83</v>
      </c>
      <c r="O164" s="14" t="s">
        <v>92</v>
      </c>
      <c r="P164" s="16" t="s">
        <v>934</v>
      </c>
      <c r="Q164" s="13">
        <f t="shared" si="5"/>
        <v>15</v>
      </c>
      <c r="R164" s="13">
        <f t="shared" si="6"/>
        <v>8</v>
      </c>
      <c r="S164" s="14" t="s">
        <v>94</v>
      </c>
      <c r="T164" s="8" t="s">
        <v>35</v>
      </c>
      <c r="U164" s="14" t="s">
        <v>36</v>
      </c>
      <c r="V164" s="13" t="s">
        <v>37</v>
      </c>
      <c r="W164" s="26"/>
      <c r="X164" s="13" t="s">
        <v>38</v>
      </c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31"/>
      <c r="AK164" s="27"/>
      <c r="AL164" s="31"/>
      <c r="AM164" s="31"/>
      <c r="AN164" s="31"/>
    </row>
    <row r="165" ht="18.0" customHeight="1">
      <c r="A165" s="3">
        <v>163.0</v>
      </c>
      <c r="B165" s="4" t="s">
        <v>935</v>
      </c>
      <c r="C165" s="5" t="s">
        <v>936</v>
      </c>
      <c r="D165" s="6" t="s">
        <v>26</v>
      </c>
      <c r="E165" s="7" t="s">
        <v>937</v>
      </c>
      <c r="F165" s="5">
        <f t="shared" si="1"/>
        <v>40</v>
      </c>
      <c r="G165" s="5">
        <f t="shared" si="2"/>
        <v>7</v>
      </c>
      <c r="H165" s="5">
        <f t="shared" si="7"/>
        <v>2</v>
      </c>
      <c r="I165" s="6" t="str">
        <f t="shared" si="4"/>
        <v>febrero</v>
      </c>
      <c r="J165" s="6" t="s">
        <v>938</v>
      </c>
      <c r="K165" s="6" t="s">
        <v>43</v>
      </c>
      <c r="L165" s="6" t="s">
        <v>939</v>
      </c>
      <c r="M165" s="6">
        <v>9.5486102E7</v>
      </c>
      <c r="N165" s="6" t="s">
        <v>61</v>
      </c>
      <c r="O165" s="6" t="s">
        <v>62</v>
      </c>
      <c r="P165" s="7" t="s">
        <v>591</v>
      </c>
      <c r="Q165" s="5">
        <f t="shared" si="5"/>
        <v>15</v>
      </c>
      <c r="R165" s="5">
        <f t="shared" si="6"/>
        <v>4</v>
      </c>
      <c r="S165" s="6" t="s">
        <v>94</v>
      </c>
      <c r="T165" s="8" t="s">
        <v>35</v>
      </c>
      <c r="U165" s="6" t="s">
        <v>36</v>
      </c>
      <c r="V165" s="5" t="s">
        <v>37</v>
      </c>
      <c r="W165" s="28"/>
      <c r="X165" s="10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30"/>
      <c r="AK165" s="29"/>
      <c r="AL165" s="30"/>
      <c r="AM165" s="30"/>
      <c r="AN165" s="30"/>
    </row>
    <row r="166" ht="18.0" customHeight="1">
      <c r="A166" s="11">
        <v>164.0</v>
      </c>
      <c r="B166" s="12" t="s">
        <v>940</v>
      </c>
      <c r="C166" s="13" t="s">
        <v>941</v>
      </c>
      <c r="D166" s="14" t="s">
        <v>26</v>
      </c>
      <c r="E166" s="16" t="s">
        <v>942</v>
      </c>
      <c r="F166" s="13">
        <f t="shared" si="1"/>
        <v>74</v>
      </c>
      <c r="G166" s="13">
        <f t="shared" si="2"/>
        <v>19</v>
      </c>
      <c r="H166" s="13">
        <f t="shared" si="7"/>
        <v>9</v>
      </c>
      <c r="I166" s="14" t="str">
        <f t="shared" si="4"/>
        <v>septiembre</v>
      </c>
      <c r="J166" s="14" t="s">
        <v>943</v>
      </c>
      <c r="K166" s="14" t="s">
        <v>43</v>
      </c>
      <c r="L166" s="14" t="s">
        <v>944</v>
      </c>
      <c r="M166" s="14">
        <v>7.5215104E7</v>
      </c>
      <c r="N166" s="14" t="s">
        <v>249</v>
      </c>
      <c r="O166" s="14" t="s">
        <v>32</v>
      </c>
      <c r="P166" s="16" t="s">
        <v>945</v>
      </c>
      <c r="Q166" s="13">
        <f t="shared" si="5"/>
        <v>9</v>
      </c>
      <c r="R166" s="13">
        <f t="shared" si="6"/>
        <v>6</v>
      </c>
      <c r="S166" s="14" t="s">
        <v>46</v>
      </c>
      <c r="T166" s="8" t="s">
        <v>35</v>
      </c>
      <c r="U166" s="14" t="s">
        <v>36</v>
      </c>
      <c r="V166" s="13" t="s">
        <v>37</v>
      </c>
      <c r="W166" s="9" t="s">
        <v>38</v>
      </c>
      <c r="X166" s="13" t="s">
        <v>38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31"/>
      <c r="AK166" s="27"/>
      <c r="AL166" s="31"/>
      <c r="AM166" s="31"/>
      <c r="AN166" s="31"/>
    </row>
    <row r="167" ht="18.0" customHeight="1">
      <c r="A167" s="3">
        <v>165.0</v>
      </c>
      <c r="B167" s="4" t="s">
        <v>951</v>
      </c>
      <c r="C167" s="5" t="s">
        <v>952</v>
      </c>
      <c r="D167" s="6" t="s">
        <v>26</v>
      </c>
      <c r="E167" s="7" t="s">
        <v>953</v>
      </c>
      <c r="F167" s="5">
        <f t="shared" si="1"/>
        <v>61</v>
      </c>
      <c r="G167" s="5">
        <f t="shared" si="2"/>
        <v>26</v>
      </c>
      <c r="H167" s="5">
        <f t="shared" si="7"/>
        <v>2</v>
      </c>
      <c r="I167" s="6" t="str">
        <f t="shared" si="4"/>
        <v>febrero</v>
      </c>
      <c r="J167" s="6" t="s">
        <v>954</v>
      </c>
      <c r="K167" s="6" t="s">
        <v>571</v>
      </c>
      <c r="L167" s="6" t="s">
        <v>955</v>
      </c>
      <c r="M167" s="6">
        <v>8.4488825E7</v>
      </c>
      <c r="N167" s="6" t="s">
        <v>61</v>
      </c>
      <c r="O167" s="6" t="s">
        <v>32</v>
      </c>
      <c r="P167" s="7" t="s">
        <v>956</v>
      </c>
      <c r="Q167" s="5">
        <f t="shared" si="5"/>
        <v>7</v>
      </c>
      <c r="R167" s="5">
        <f t="shared" si="6"/>
        <v>10</v>
      </c>
      <c r="S167" s="6" t="s">
        <v>250</v>
      </c>
      <c r="T167" s="8" t="s">
        <v>35</v>
      </c>
      <c r="U167" s="6" t="s">
        <v>36</v>
      </c>
      <c r="V167" s="5" t="s">
        <v>37</v>
      </c>
      <c r="W167" s="28"/>
      <c r="X167" s="5" t="s">
        <v>38</v>
      </c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30"/>
      <c r="AK167" s="29"/>
      <c r="AL167" s="30"/>
      <c r="AM167" s="30"/>
      <c r="AN167" s="30"/>
    </row>
    <row r="168" ht="18.0" customHeight="1">
      <c r="A168" s="11">
        <v>166.0</v>
      </c>
      <c r="B168" s="12" t="s">
        <v>957</v>
      </c>
      <c r="C168" s="13" t="s">
        <v>958</v>
      </c>
      <c r="D168" s="14" t="s">
        <v>26</v>
      </c>
      <c r="E168" s="16" t="s">
        <v>959</v>
      </c>
      <c r="F168" s="13">
        <f t="shared" si="1"/>
        <v>36</v>
      </c>
      <c r="G168" s="13">
        <f t="shared" si="2"/>
        <v>31</v>
      </c>
      <c r="H168" s="13">
        <f t="shared" si="7"/>
        <v>12</v>
      </c>
      <c r="I168" s="14" t="str">
        <f t="shared" si="4"/>
        <v>diciembre</v>
      </c>
      <c r="J168" s="14" t="s">
        <v>960</v>
      </c>
      <c r="K168" s="14" t="s">
        <v>68</v>
      </c>
      <c r="L168" s="14" t="s">
        <v>961</v>
      </c>
      <c r="M168" s="14">
        <v>9.97843806E8</v>
      </c>
      <c r="N168" s="14" t="s">
        <v>91</v>
      </c>
      <c r="O168" s="14" t="s">
        <v>100</v>
      </c>
      <c r="P168" s="16" t="s">
        <v>962</v>
      </c>
      <c r="Q168" s="13">
        <f t="shared" si="5"/>
        <v>11</v>
      </c>
      <c r="R168" s="13">
        <f t="shared" si="6"/>
        <v>1</v>
      </c>
      <c r="S168" s="14" t="s">
        <v>250</v>
      </c>
      <c r="T168" s="8" t="s">
        <v>35</v>
      </c>
      <c r="U168" s="14" t="s">
        <v>36</v>
      </c>
      <c r="V168" s="13" t="s">
        <v>37</v>
      </c>
      <c r="W168" s="26"/>
      <c r="X168" s="13" t="s">
        <v>38</v>
      </c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31"/>
      <c r="AK168" s="27"/>
      <c r="AL168" s="31"/>
      <c r="AM168" s="31"/>
      <c r="AN168" s="31"/>
    </row>
    <row r="169" ht="18.0" customHeight="1">
      <c r="A169" s="3">
        <v>167.0</v>
      </c>
      <c r="B169" s="4" t="s">
        <v>963</v>
      </c>
      <c r="C169" s="5" t="s">
        <v>964</v>
      </c>
      <c r="D169" s="6" t="s">
        <v>26</v>
      </c>
      <c r="E169" s="7" t="s">
        <v>965</v>
      </c>
      <c r="F169" s="5">
        <f t="shared" si="1"/>
        <v>36</v>
      </c>
      <c r="G169" s="5">
        <f t="shared" si="2"/>
        <v>16</v>
      </c>
      <c r="H169" s="5">
        <f t="shared" si="7"/>
        <v>10</v>
      </c>
      <c r="I169" s="6" t="str">
        <f t="shared" si="4"/>
        <v>octubre</v>
      </c>
      <c r="J169" s="6" t="s">
        <v>966</v>
      </c>
      <c r="K169" s="6" t="s">
        <v>53</v>
      </c>
      <c r="L169" s="6" t="s">
        <v>967</v>
      </c>
      <c r="M169" s="6">
        <v>7.9552172E7</v>
      </c>
      <c r="N169" s="6" t="s">
        <v>91</v>
      </c>
      <c r="O169" s="6" t="s">
        <v>32</v>
      </c>
      <c r="P169" s="7" t="s">
        <v>968</v>
      </c>
      <c r="Q169" s="5">
        <f t="shared" si="5"/>
        <v>4</v>
      </c>
      <c r="R169" s="5">
        <f t="shared" si="6"/>
        <v>6</v>
      </c>
      <c r="S169" s="6" t="s">
        <v>46</v>
      </c>
      <c r="T169" s="8" t="s">
        <v>35</v>
      </c>
      <c r="U169" s="6" t="s">
        <v>47</v>
      </c>
      <c r="V169" s="5" t="s">
        <v>48</v>
      </c>
      <c r="W169" s="9" t="s">
        <v>38</v>
      </c>
      <c r="X169" s="5" t="s">
        <v>38</v>
      </c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30"/>
      <c r="AK169" s="29"/>
      <c r="AL169" s="30"/>
      <c r="AM169" s="30"/>
      <c r="AN169" s="30"/>
    </row>
    <row r="170" ht="18.0" customHeight="1">
      <c r="A170" s="11">
        <v>168.0</v>
      </c>
      <c r="B170" s="12" t="s">
        <v>969</v>
      </c>
      <c r="C170" s="13" t="s">
        <v>970</v>
      </c>
      <c r="D170" s="14" t="s">
        <v>26</v>
      </c>
      <c r="E170" s="16" t="s">
        <v>971</v>
      </c>
      <c r="F170" s="13">
        <f t="shared" si="1"/>
        <v>40</v>
      </c>
      <c r="G170" s="13">
        <f t="shared" si="2"/>
        <v>30</v>
      </c>
      <c r="H170" s="13">
        <f t="shared" si="7"/>
        <v>4</v>
      </c>
      <c r="I170" s="14" t="str">
        <f t="shared" si="4"/>
        <v>abril</v>
      </c>
      <c r="J170" s="14" t="s">
        <v>972</v>
      </c>
      <c r="K170" s="14" t="s">
        <v>43</v>
      </c>
      <c r="L170" s="14" t="s">
        <v>973</v>
      </c>
      <c r="M170" s="14">
        <v>9.56593807E8</v>
      </c>
      <c r="N170" s="14" t="s">
        <v>125</v>
      </c>
      <c r="O170" s="14" t="s">
        <v>32</v>
      </c>
      <c r="P170" s="16" t="s">
        <v>974</v>
      </c>
      <c r="Q170" s="13">
        <f t="shared" si="5"/>
        <v>9</v>
      </c>
      <c r="R170" s="13">
        <f t="shared" si="6"/>
        <v>1</v>
      </c>
      <c r="S170" s="14" t="s">
        <v>46</v>
      </c>
      <c r="T170" s="8" t="s">
        <v>35</v>
      </c>
      <c r="U170" s="14" t="s">
        <v>47</v>
      </c>
      <c r="V170" s="13" t="s">
        <v>48</v>
      </c>
      <c r="W170" s="9" t="s">
        <v>38</v>
      </c>
      <c r="X170" s="13" t="s">
        <v>38</v>
      </c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31"/>
      <c r="AK170" s="27"/>
      <c r="AL170" s="31"/>
      <c r="AM170" s="31"/>
      <c r="AN170" s="31"/>
    </row>
    <row r="171" ht="18.0" customHeight="1">
      <c r="A171" s="3">
        <v>169.0</v>
      </c>
      <c r="B171" s="4" t="s">
        <v>975</v>
      </c>
      <c r="C171" s="5" t="s">
        <v>976</v>
      </c>
      <c r="D171" s="6" t="s">
        <v>26</v>
      </c>
      <c r="E171" s="7" t="s">
        <v>977</v>
      </c>
      <c r="F171" s="5">
        <f t="shared" si="1"/>
        <v>26</v>
      </c>
      <c r="G171" s="5">
        <f t="shared" si="2"/>
        <v>23</v>
      </c>
      <c r="H171" s="5">
        <f t="shared" si="7"/>
        <v>11</v>
      </c>
      <c r="I171" s="6" t="str">
        <f t="shared" si="4"/>
        <v>noviembre</v>
      </c>
      <c r="J171" s="6" t="s">
        <v>978</v>
      </c>
      <c r="K171" s="6" t="s">
        <v>571</v>
      </c>
      <c r="L171" s="6" t="s">
        <v>979</v>
      </c>
      <c r="M171" s="6">
        <v>5.322695E7</v>
      </c>
      <c r="N171" s="6" t="s">
        <v>70</v>
      </c>
      <c r="O171" s="6" t="s">
        <v>32</v>
      </c>
      <c r="P171" s="7" t="s">
        <v>910</v>
      </c>
      <c r="Q171" s="5">
        <f t="shared" si="5"/>
        <v>5</v>
      </c>
      <c r="R171" s="5">
        <f t="shared" si="6"/>
        <v>0</v>
      </c>
      <c r="S171" s="6" t="s">
        <v>64</v>
      </c>
      <c r="T171" s="8" t="s">
        <v>35</v>
      </c>
      <c r="U171" s="6" t="s">
        <v>36</v>
      </c>
      <c r="V171" s="5" t="s">
        <v>37</v>
      </c>
      <c r="W171" s="9" t="s">
        <v>38</v>
      </c>
      <c r="X171" s="5" t="s">
        <v>38</v>
      </c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8.0" customHeight="1">
      <c r="A172" s="11">
        <v>170.0</v>
      </c>
      <c r="B172" s="12" t="s">
        <v>1156</v>
      </c>
      <c r="C172" s="13" t="s">
        <v>1157</v>
      </c>
      <c r="D172" s="14" t="s">
        <v>26</v>
      </c>
      <c r="E172" s="16" t="s">
        <v>1158</v>
      </c>
      <c r="F172" s="13">
        <f t="shared" si="1"/>
        <v>29</v>
      </c>
      <c r="G172" s="13">
        <f t="shared" si="2"/>
        <v>20</v>
      </c>
      <c r="H172" s="13">
        <f t="shared" si="7"/>
        <v>10</v>
      </c>
      <c r="I172" s="14" t="str">
        <f t="shared" si="4"/>
        <v>octubre</v>
      </c>
      <c r="J172" s="14" t="s">
        <v>1159</v>
      </c>
      <c r="K172" s="14" t="s">
        <v>29</v>
      </c>
      <c r="L172" s="14" t="s">
        <v>1160</v>
      </c>
      <c r="M172" s="14">
        <v>9.42916291E8</v>
      </c>
      <c r="N172" s="14" t="s">
        <v>91</v>
      </c>
      <c r="O172" s="14" t="s">
        <v>62</v>
      </c>
      <c r="P172" s="16" t="s">
        <v>1161</v>
      </c>
      <c r="Q172" s="13">
        <f t="shared" si="5"/>
        <v>7</v>
      </c>
      <c r="R172" s="13">
        <f t="shared" si="6"/>
        <v>6</v>
      </c>
      <c r="S172" s="14" t="s">
        <v>250</v>
      </c>
      <c r="T172" s="8" t="s">
        <v>35</v>
      </c>
      <c r="U172" s="14" t="s">
        <v>47</v>
      </c>
      <c r="V172" s="13" t="s">
        <v>48</v>
      </c>
      <c r="W172" s="26"/>
      <c r="X172" s="13" t="s">
        <v>38</v>
      </c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31"/>
      <c r="AK172" s="27"/>
      <c r="AL172" s="31"/>
      <c r="AM172" s="31"/>
      <c r="AN172" s="31"/>
    </row>
    <row r="173" ht="18.0" customHeight="1">
      <c r="A173" s="3">
        <v>171.0</v>
      </c>
      <c r="B173" s="4" t="s">
        <v>1162</v>
      </c>
      <c r="C173" s="5" t="s">
        <v>1163</v>
      </c>
      <c r="D173" s="6" t="s">
        <v>26</v>
      </c>
      <c r="E173" s="7" t="s">
        <v>1164</v>
      </c>
      <c r="F173" s="5">
        <f t="shared" si="1"/>
        <v>39</v>
      </c>
      <c r="G173" s="5">
        <f t="shared" si="2"/>
        <v>11</v>
      </c>
      <c r="H173" s="5">
        <f t="shared" si="7"/>
        <v>10</v>
      </c>
      <c r="I173" s="6" t="str">
        <f t="shared" si="4"/>
        <v>octubre</v>
      </c>
      <c r="J173" s="6" t="s">
        <v>1165</v>
      </c>
      <c r="K173" s="6" t="s">
        <v>29</v>
      </c>
      <c r="L173" s="6" t="s">
        <v>1166</v>
      </c>
      <c r="M173" s="6">
        <v>9.40376892E8</v>
      </c>
      <c r="N173" s="6" t="s">
        <v>91</v>
      </c>
      <c r="O173" s="6" t="s">
        <v>62</v>
      </c>
      <c r="P173" s="7" t="s">
        <v>1167</v>
      </c>
      <c r="Q173" s="5">
        <f t="shared" si="5"/>
        <v>5</v>
      </c>
      <c r="R173" s="5">
        <f t="shared" si="6"/>
        <v>7</v>
      </c>
      <c r="S173" s="6" t="s">
        <v>250</v>
      </c>
      <c r="T173" s="36" t="s">
        <v>1168</v>
      </c>
      <c r="U173" s="6" t="s">
        <v>36</v>
      </c>
      <c r="V173" s="5" t="s">
        <v>37</v>
      </c>
      <c r="W173" s="28"/>
      <c r="X173" s="10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30"/>
      <c r="AK173" s="29"/>
      <c r="AL173" s="30"/>
      <c r="AM173" s="30"/>
      <c r="AN173" s="30"/>
    </row>
    <row r="174" ht="18.0" customHeight="1">
      <c r="A174" s="11">
        <v>172.0</v>
      </c>
      <c r="B174" s="12" t="s">
        <v>980</v>
      </c>
      <c r="C174" s="13" t="s">
        <v>981</v>
      </c>
      <c r="D174" s="14" t="s">
        <v>26</v>
      </c>
      <c r="E174" s="18">
        <v>32681.0</v>
      </c>
      <c r="F174" s="13">
        <f t="shared" si="1"/>
        <v>35</v>
      </c>
      <c r="G174" s="13">
        <f t="shared" si="2"/>
        <v>31</v>
      </c>
      <c r="H174" s="13">
        <f t="shared" si="7"/>
        <v>1</v>
      </c>
      <c r="I174" s="14" t="str">
        <f t="shared" si="4"/>
        <v>enero</v>
      </c>
      <c r="J174" s="14" t="s">
        <v>982</v>
      </c>
      <c r="K174" s="14" t="s">
        <v>68</v>
      </c>
      <c r="L174" s="14" t="s">
        <v>983</v>
      </c>
      <c r="M174" s="14">
        <v>9.9004277E8</v>
      </c>
      <c r="N174" s="14" t="s">
        <v>61</v>
      </c>
      <c r="O174" s="14" t="s">
        <v>32</v>
      </c>
      <c r="P174" s="16" t="s">
        <v>984</v>
      </c>
      <c r="Q174" s="13">
        <f t="shared" si="5"/>
        <v>0</v>
      </c>
      <c r="R174" s="13">
        <f t="shared" si="6"/>
        <v>3</v>
      </c>
      <c r="S174" s="14" t="s">
        <v>250</v>
      </c>
      <c r="T174" s="8" t="s">
        <v>35</v>
      </c>
      <c r="U174" s="14" t="s">
        <v>47</v>
      </c>
      <c r="V174" s="13" t="s">
        <v>48</v>
      </c>
      <c r="W174" s="17"/>
      <c r="X174" s="13" t="s">
        <v>38</v>
      </c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</row>
    <row r="175" ht="18.0" customHeight="1">
      <c r="A175" s="3">
        <v>173.0</v>
      </c>
      <c r="B175" s="4" t="s">
        <v>985</v>
      </c>
      <c r="C175" s="5" t="s">
        <v>986</v>
      </c>
      <c r="D175" s="6" t="s">
        <v>41</v>
      </c>
      <c r="E175" s="44">
        <v>26783.0</v>
      </c>
      <c r="F175" s="5">
        <f t="shared" si="1"/>
        <v>36</v>
      </c>
      <c r="G175" s="5">
        <f t="shared" si="2"/>
        <v>22</v>
      </c>
      <c r="H175" s="5">
        <f t="shared" si="7"/>
        <v>6</v>
      </c>
      <c r="I175" s="6" t="str">
        <f t="shared" si="4"/>
        <v>junio</v>
      </c>
      <c r="J175" s="6" t="s">
        <v>987</v>
      </c>
      <c r="K175" s="6" t="s">
        <v>29</v>
      </c>
      <c r="L175" s="6" t="s">
        <v>988</v>
      </c>
      <c r="M175" s="6">
        <v>9.62537404E8</v>
      </c>
      <c r="N175" s="6" t="s">
        <v>685</v>
      </c>
      <c r="O175" s="6" t="s">
        <v>32</v>
      </c>
      <c r="P175" s="19">
        <v>44656.0</v>
      </c>
      <c r="Q175" s="5">
        <f t="shared" si="5"/>
        <v>2</v>
      </c>
      <c r="R175" s="5">
        <f t="shared" si="6"/>
        <v>0</v>
      </c>
      <c r="S175" s="6" t="s">
        <v>225</v>
      </c>
      <c r="T175" s="8" t="s">
        <v>35</v>
      </c>
      <c r="U175" s="6" t="s">
        <v>47</v>
      </c>
      <c r="V175" s="5" t="s">
        <v>48</v>
      </c>
      <c r="W175" s="9" t="s">
        <v>38</v>
      </c>
      <c r="X175" s="5" t="s">
        <v>38</v>
      </c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30"/>
      <c r="AK175" s="29"/>
      <c r="AL175" s="30"/>
      <c r="AM175" s="30"/>
      <c r="AN175" s="30"/>
    </row>
    <row r="176" ht="18.0" customHeight="1">
      <c r="A176" s="11">
        <v>174.0</v>
      </c>
      <c r="B176" s="12" t="s">
        <v>989</v>
      </c>
      <c r="C176" s="13" t="s">
        <v>990</v>
      </c>
      <c r="D176" s="14" t="s">
        <v>26</v>
      </c>
      <c r="E176" s="16" t="s">
        <v>991</v>
      </c>
      <c r="F176" s="13">
        <f t="shared" si="1"/>
        <v>53</v>
      </c>
      <c r="G176" s="13">
        <f t="shared" si="2"/>
        <v>29</v>
      </c>
      <c r="H176" s="13">
        <f t="shared" si="7"/>
        <v>4</v>
      </c>
      <c r="I176" s="14" t="str">
        <f t="shared" si="4"/>
        <v>abril</v>
      </c>
      <c r="J176" s="14" t="s">
        <v>992</v>
      </c>
      <c r="K176" s="14" t="s">
        <v>256</v>
      </c>
      <c r="L176" s="14" t="s">
        <v>993</v>
      </c>
      <c r="M176" s="14">
        <v>9.3369119E7</v>
      </c>
      <c r="N176" s="14" t="s">
        <v>31</v>
      </c>
      <c r="O176" s="14" t="s">
        <v>32</v>
      </c>
      <c r="P176" s="16" t="s">
        <v>994</v>
      </c>
      <c r="Q176" s="13">
        <f t="shared" si="5"/>
        <v>4</v>
      </c>
      <c r="R176" s="13">
        <f t="shared" si="6"/>
        <v>1</v>
      </c>
      <c r="S176" s="14" t="s">
        <v>46</v>
      </c>
      <c r="T176" s="8" t="s">
        <v>35</v>
      </c>
      <c r="U176" s="14" t="s">
        <v>36</v>
      </c>
      <c r="V176" s="13" t="s">
        <v>37</v>
      </c>
      <c r="W176" s="9" t="s">
        <v>38</v>
      </c>
      <c r="X176" s="13" t="s">
        <v>38</v>
      </c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31"/>
      <c r="AK176" s="27"/>
      <c r="AL176" s="31"/>
      <c r="AM176" s="31"/>
      <c r="AN176" s="31"/>
    </row>
    <row r="177" ht="18.0" customHeight="1">
      <c r="A177" s="3">
        <v>175.0</v>
      </c>
      <c r="B177" s="4" t="s">
        <v>995</v>
      </c>
      <c r="C177" s="5" t="s">
        <v>996</v>
      </c>
      <c r="D177" s="6" t="s">
        <v>26</v>
      </c>
      <c r="E177" s="7" t="s">
        <v>997</v>
      </c>
      <c r="F177" s="5">
        <f t="shared" si="1"/>
        <v>39</v>
      </c>
      <c r="G177" s="5">
        <f t="shared" si="2"/>
        <v>22</v>
      </c>
      <c r="H177" s="5">
        <f t="shared" si="7"/>
        <v>9</v>
      </c>
      <c r="I177" s="6" t="str">
        <f t="shared" si="4"/>
        <v>septiembre</v>
      </c>
      <c r="J177" s="6" t="s">
        <v>998</v>
      </c>
      <c r="K177" s="6" t="s">
        <v>29</v>
      </c>
      <c r="L177" s="6" t="s">
        <v>999</v>
      </c>
      <c r="M177" s="6">
        <v>8.8251554E7</v>
      </c>
      <c r="N177" s="6" t="s">
        <v>91</v>
      </c>
      <c r="O177" s="6" t="s">
        <v>32</v>
      </c>
      <c r="P177" s="7" t="s">
        <v>1000</v>
      </c>
      <c r="Q177" s="5">
        <f t="shared" si="5"/>
        <v>7</v>
      </c>
      <c r="R177" s="5">
        <f t="shared" si="6"/>
        <v>2</v>
      </c>
      <c r="S177" s="6" t="s">
        <v>46</v>
      </c>
      <c r="T177" s="8" t="s">
        <v>35</v>
      </c>
      <c r="U177" s="6" t="s">
        <v>47</v>
      </c>
      <c r="V177" s="5" t="s">
        <v>48</v>
      </c>
      <c r="W177" s="9" t="s">
        <v>38</v>
      </c>
      <c r="X177" s="5" t="s">
        <v>38</v>
      </c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30"/>
      <c r="AK177" s="29"/>
      <c r="AL177" s="30"/>
      <c r="AM177" s="30"/>
      <c r="AN177" s="30"/>
    </row>
    <row r="178" ht="18.0" customHeight="1">
      <c r="A178" s="11">
        <v>176.0</v>
      </c>
      <c r="B178" s="12" t="s">
        <v>1001</v>
      </c>
      <c r="C178" s="13" t="s">
        <v>1002</v>
      </c>
      <c r="D178" s="14" t="s">
        <v>26</v>
      </c>
      <c r="E178" s="16" t="s">
        <v>1003</v>
      </c>
      <c r="F178" s="13">
        <f t="shared" si="1"/>
        <v>58</v>
      </c>
      <c r="G178" s="13">
        <f t="shared" si="2"/>
        <v>15</v>
      </c>
      <c r="H178" s="13">
        <f t="shared" si="7"/>
        <v>4</v>
      </c>
      <c r="I178" s="14" t="str">
        <f t="shared" si="4"/>
        <v>abril</v>
      </c>
      <c r="J178" s="14" t="s">
        <v>1004</v>
      </c>
      <c r="K178" s="14" t="s">
        <v>29</v>
      </c>
      <c r="L178" s="14" t="s">
        <v>1005</v>
      </c>
      <c r="M178" s="14">
        <v>8.1962524E7</v>
      </c>
      <c r="N178" s="14" t="s">
        <v>91</v>
      </c>
      <c r="O178" s="14" t="s">
        <v>32</v>
      </c>
      <c r="P178" s="16" t="s">
        <v>1006</v>
      </c>
      <c r="Q178" s="13">
        <f t="shared" si="5"/>
        <v>9</v>
      </c>
      <c r="R178" s="13">
        <f t="shared" si="6"/>
        <v>5</v>
      </c>
      <c r="S178" s="14" t="s">
        <v>64</v>
      </c>
      <c r="T178" s="8" t="s">
        <v>35</v>
      </c>
      <c r="U178" s="14" t="s">
        <v>47</v>
      </c>
      <c r="V178" s="13" t="s">
        <v>48</v>
      </c>
      <c r="W178" s="9" t="s">
        <v>38</v>
      </c>
      <c r="X178" s="13" t="s">
        <v>38</v>
      </c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31"/>
      <c r="AK178" s="27"/>
      <c r="AL178" s="31"/>
      <c r="AM178" s="31"/>
      <c r="AN178" s="31"/>
    </row>
    <row r="179" ht="18.0" customHeight="1">
      <c r="A179" s="3">
        <v>177.0</v>
      </c>
      <c r="B179" s="4" t="s">
        <v>1065</v>
      </c>
      <c r="C179" s="5" t="s">
        <v>1066</v>
      </c>
      <c r="D179" s="6" t="s">
        <v>26</v>
      </c>
      <c r="E179" s="34">
        <v>33185.0</v>
      </c>
      <c r="F179" s="5">
        <f t="shared" si="1"/>
        <v>58</v>
      </c>
      <c r="G179" s="5">
        <f t="shared" si="2"/>
        <v>6</v>
      </c>
      <c r="H179" s="5">
        <f t="shared" si="7"/>
        <v>12</v>
      </c>
      <c r="I179" s="6" t="str">
        <f t="shared" si="4"/>
        <v>diciembre</v>
      </c>
      <c r="J179" s="6" t="s">
        <v>1067</v>
      </c>
      <c r="K179" s="6" t="s">
        <v>1056</v>
      </c>
      <c r="L179" s="6" t="s">
        <v>1068</v>
      </c>
      <c r="M179" s="6">
        <v>9.92894559E8</v>
      </c>
      <c r="N179" s="6" t="s">
        <v>31</v>
      </c>
      <c r="O179" s="6" t="s">
        <v>32</v>
      </c>
      <c r="P179" s="7" t="s">
        <v>1058</v>
      </c>
      <c r="Q179" s="5">
        <f t="shared" si="5"/>
        <v>23</v>
      </c>
      <c r="R179" s="5">
        <f t="shared" si="6"/>
        <v>11</v>
      </c>
      <c r="S179" s="6" t="s">
        <v>250</v>
      </c>
      <c r="T179" s="36" t="s">
        <v>1059</v>
      </c>
      <c r="U179" s="6" t="s">
        <v>36</v>
      </c>
      <c r="V179" s="5" t="s">
        <v>37</v>
      </c>
      <c r="W179" s="24" t="s">
        <v>1060</v>
      </c>
      <c r="X179" s="5" t="s">
        <v>38</v>
      </c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</row>
    <row r="180" ht="18.0" customHeight="1">
      <c r="A180" s="11">
        <v>178.0</v>
      </c>
      <c r="B180" s="12" t="s">
        <v>1007</v>
      </c>
      <c r="C180" s="13" t="s">
        <v>1008</v>
      </c>
      <c r="D180" s="14" t="s">
        <v>26</v>
      </c>
      <c r="E180" s="16" t="s">
        <v>1009</v>
      </c>
      <c r="F180" s="13">
        <f t="shared" si="1"/>
        <v>35</v>
      </c>
      <c r="G180" s="13">
        <f t="shared" si="2"/>
        <v>8</v>
      </c>
      <c r="H180" s="13">
        <f t="shared" si="7"/>
        <v>11</v>
      </c>
      <c r="I180" s="14" t="str">
        <f t="shared" si="4"/>
        <v>noviembre</v>
      </c>
      <c r="J180" s="14" t="s">
        <v>1010</v>
      </c>
      <c r="K180" s="14" t="s">
        <v>131</v>
      </c>
      <c r="L180" s="14" t="s">
        <v>1011</v>
      </c>
      <c r="M180" s="14">
        <v>9.53600463E8</v>
      </c>
      <c r="N180" s="14" t="s">
        <v>685</v>
      </c>
      <c r="O180" s="14" t="s">
        <v>1012</v>
      </c>
      <c r="P180" s="16" t="s">
        <v>1013</v>
      </c>
      <c r="Q180" s="13">
        <f t="shared" si="5"/>
        <v>0</v>
      </c>
      <c r="R180" s="13">
        <f t="shared" si="6"/>
        <v>8</v>
      </c>
      <c r="S180" s="14" t="s">
        <v>250</v>
      </c>
      <c r="T180" s="8" t="s">
        <v>35</v>
      </c>
      <c r="U180" s="14" t="s">
        <v>47</v>
      </c>
      <c r="V180" s="13" t="s">
        <v>48</v>
      </c>
      <c r="W180" s="17"/>
      <c r="X180" s="13" t="s">
        <v>38</v>
      </c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</row>
    <row r="181" ht="18.0" customHeight="1">
      <c r="A181" s="3">
        <v>179.0</v>
      </c>
      <c r="B181" s="4" t="s">
        <v>1014</v>
      </c>
      <c r="C181" s="5" t="s">
        <v>1015</v>
      </c>
      <c r="D181" s="6" t="s">
        <v>26</v>
      </c>
      <c r="E181" s="7" t="s">
        <v>1016</v>
      </c>
      <c r="F181" s="5">
        <f t="shared" si="1"/>
        <v>33</v>
      </c>
      <c r="G181" s="5">
        <f t="shared" si="2"/>
        <v>14</v>
      </c>
      <c r="H181" s="5">
        <f t="shared" si="7"/>
        <v>8</v>
      </c>
      <c r="I181" s="6" t="str">
        <f t="shared" si="4"/>
        <v>agosto</v>
      </c>
      <c r="J181" s="6" t="s">
        <v>1017</v>
      </c>
      <c r="K181" s="6" t="s">
        <v>53</v>
      </c>
      <c r="L181" s="6" t="s">
        <v>1018</v>
      </c>
      <c r="M181" s="6">
        <v>9.62928364E8</v>
      </c>
      <c r="N181" s="6" t="s">
        <v>91</v>
      </c>
      <c r="O181" s="6" t="s">
        <v>32</v>
      </c>
      <c r="P181" s="7" t="s">
        <v>1019</v>
      </c>
      <c r="Q181" s="5">
        <f t="shared" si="5"/>
        <v>4</v>
      </c>
      <c r="R181" s="5">
        <f t="shared" si="6"/>
        <v>4</v>
      </c>
      <c r="S181" s="6" t="s">
        <v>360</v>
      </c>
      <c r="T181" s="8" t="s">
        <v>35</v>
      </c>
      <c r="U181" s="6" t="s">
        <v>36</v>
      </c>
      <c r="V181" s="5" t="s">
        <v>37</v>
      </c>
      <c r="W181" s="9" t="s">
        <v>38</v>
      </c>
      <c r="X181" s="5" t="s">
        <v>38</v>
      </c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</row>
    <row r="182" ht="18.0" customHeight="1">
      <c r="A182" s="11">
        <v>180.0</v>
      </c>
      <c r="B182" s="12" t="s">
        <v>1020</v>
      </c>
      <c r="C182" s="13" t="s">
        <v>1021</v>
      </c>
      <c r="D182" s="14" t="s">
        <v>26</v>
      </c>
      <c r="E182" s="16" t="s">
        <v>1022</v>
      </c>
      <c r="F182" s="13">
        <f t="shared" si="1"/>
        <v>46</v>
      </c>
      <c r="G182" s="13">
        <f t="shared" si="2"/>
        <v>17</v>
      </c>
      <c r="H182" s="13">
        <f t="shared" si="7"/>
        <v>11</v>
      </c>
      <c r="I182" s="14" t="str">
        <f t="shared" si="4"/>
        <v>noviembre</v>
      </c>
      <c r="J182" s="14" t="s">
        <v>1023</v>
      </c>
      <c r="K182" s="14" t="s">
        <v>29</v>
      </c>
      <c r="L182" s="14" t="s">
        <v>1024</v>
      </c>
      <c r="M182" s="14">
        <v>9.5976618E7</v>
      </c>
      <c r="N182" s="14" t="s">
        <v>61</v>
      </c>
      <c r="O182" s="14" t="s">
        <v>32</v>
      </c>
      <c r="P182" s="16" t="s">
        <v>1025</v>
      </c>
      <c r="Q182" s="13">
        <f t="shared" si="5"/>
        <v>3</v>
      </c>
      <c r="R182" s="13">
        <f t="shared" si="6"/>
        <v>9</v>
      </c>
      <c r="S182" s="14" t="s">
        <v>46</v>
      </c>
      <c r="T182" s="8" t="s">
        <v>35</v>
      </c>
      <c r="U182" s="14" t="s">
        <v>47</v>
      </c>
      <c r="V182" s="13" t="s">
        <v>48</v>
      </c>
      <c r="W182" s="9" t="s">
        <v>38</v>
      </c>
      <c r="X182" s="13" t="s">
        <v>38</v>
      </c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</row>
    <row r="183" ht="18.0" customHeight="1">
      <c r="A183" s="37"/>
      <c r="B183" s="10"/>
      <c r="C183" s="10"/>
      <c r="D183" s="38"/>
      <c r="E183" s="38"/>
      <c r="F183" s="10"/>
      <c r="G183" s="10"/>
      <c r="H183" s="10"/>
      <c r="I183" s="10"/>
      <c r="J183" s="10"/>
      <c r="K183" s="38"/>
      <c r="L183" s="10"/>
      <c r="M183" s="38"/>
      <c r="N183" s="38"/>
      <c r="O183" s="38"/>
      <c r="P183" s="39"/>
      <c r="Q183" s="39"/>
      <c r="R183" s="38"/>
      <c r="S183" s="38"/>
      <c r="T183" s="38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</row>
    <row r="184" ht="18.0" customHeight="1">
      <c r="A184" s="40"/>
      <c r="B184" s="17"/>
      <c r="C184" s="17"/>
      <c r="D184" s="41"/>
      <c r="E184" s="41"/>
      <c r="F184" s="17"/>
      <c r="G184" s="17"/>
      <c r="H184" s="17"/>
      <c r="I184" s="17"/>
      <c r="J184" s="17"/>
      <c r="K184" s="41"/>
      <c r="L184" s="17"/>
      <c r="M184" s="41"/>
      <c r="N184" s="41"/>
      <c r="O184" s="41"/>
      <c r="P184" s="42"/>
      <c r="Q184" s="42"/>
      <c r="R184" s="41"/>
      <c r="S184" s="41"/>
      <c r="T184" s="41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</row>
    <row r="185" ht="18.0" customHeight="1">
      <c r="A185" s="37"/>
      <c r="B185" s="29"/>
      <c r="C185" s="10"/>
      <c r="D185" s="38"/>
      <c r="E185" s="38"/>
      <c r="F185" s="10"/>
      <c r="G185" s="10"/>
      <c r="H185" s="10"/>
      <c r="I185" s="10"/>
      <c r="J185" s="10"/>
      <c r="K185" s="38"/>
      <c r="L185" s="10"/>
      <c r="M185" s="38"/>
      <c r="N185" s="38"/>
      <c r="O185" s="38"/>
      <c r="P185" s="39"/>
      <c r="Q185" s="39"/>
      <c r="R185" s="38"/>
      <c r="S185" s="38"/>
      <c r="T185" s="38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</row>
    <row r="186" ht="18.0" customHeight="1">
      <c r="A186" s="40"/>
      <c r="B186" s="17"/>
      <c r="C186" s="17"/>
      <c r="D186" s="41"/>
      <c r="E186" s="41"/>
      <c r="F186" s="17"/>
      <c r="G186" s="17"/>
      <c r="H186" s="17"/>
      <c r="I186" s="17"/>
      <c r="J186" s="17"/>
      <c r="K186" s="41"/>
      <c r="L186" s="17"/>
      <c r="M186" s="41"/>
      <c r="N186" s="41"/>
      <c r="O186" s="41"/>
      <c r="P186" s="42"/>
      <c r="Q186" s="42"/>
      <c r="R186" s="41"/>
      <c r="S186" s="41"/>
      <c r="T186" s="41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</row>
    <row r="187" ht="18.0" customHeight="1">
      <c r="A187" s="37"/>
      <c r="B187" s="10"/>
      <c r="C187" s="10"/>
      <c r="D187" s="38"/>
      <c r="E187" s="38"/>
      <c r="F187" s="10"/>
      <c r="G187" s="10"/>
      <c r="H187" s="10"/>
      <c r="I187" s="10"/>
      <c r="J187" s="10"/>
      <c r="K187" s="38"/>
      <c r="L187" s="10"/>
      <c r="M187" s="38"/>
      <c r="N187" s="38"/>
      <c r="O187" s="38"/>
      <c r="P187" s="39"/>
      <c r="Q187" s="39"/>
      <c r="R187" s="38"/>
      <c r="S187" s="38"/>
      <c r="T187" s="38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</row>
    <row r="188" ht="18.0" customHeight="1">
      <c r="A188" s="40"/>
      <c r="B188" s="17"/>
      <c r="C188" s="17"/>
      <c r="D188" s="41"/>
      <c r="E188" s="41"/>
      <c r="F188" s="17"/>
      <c r="G188" s="17"/>
      <c r="H188" s="17"/>
      <c r="I188" s="17"/>
      <c r="J188" s="17"/>
      <c r="K188" s="41"/>
      <c r="L188" s="17"/>
      <c r="M188" s="41"/>
      <c r="N188" s="41"/>
      <c r="O188" s="41"/>
      <c r="P188" s="42"/>
      <c r="Q188" s="42"/>
      <c r="R188" s="41"/>
      <c r="S188" s="41"/>
      <c r="T188" s="41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</row>
    <row r="189" ht="18.0" customHeight="1">
      <c r="A189" s="37"/>
      <c r="B189" s="10"/>
      <c r="C189" s="10"/>
      <c r="D189" s="38"/>
      <c r="E189" s="38"/>
      <c r="F189" s="10"/>
      <c r="G189" s="10"/>
      <c r="H189" s="10"/>
      <c r="I189" s="10"/>
      <c r="J189" s="10"/>
      <c r="K189" s="38"/>
      <c r="L189" s="10"/>
      <c r="M189" s="38"/>
      <c r="N189" s="38"/>
      <c r="O189" s="38"/>
      <c r="P189" s="39"/>
      <c r="Q189" s="39"/>
      <c r="R189" s="38"/>
      <c r="S189" s="38"/>
      <c r="T189" s="38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</row>
    <row r="190" ht="18.0" customHeight="1">
      <c r="A190" s="40"/>
      <c r="B190" s="17"/>
      <c r="C190" s="17"/>
      <c r="D190" s="41"/>
      <c r="E190" s="41"/>
      <c r="F190" s="17"/>
      <c r="G190" s="17"/>
      <c r="H190" s="17"/>
      <c r="I190" s="17"/>
      <c r="J190" s="17"/>
      <c r="K190" s="41"/>
      <c r="L190" s="17"/>
      <c r="M190" s="41"/>
      <c r="N190" s="41"/>
      <c r="O190" s="41"/>
      <c r="P190" s="42"/>
      <c r="Q190" s="42"/>
      <c r="R190" s="41"/>
      <c r="S190" s="41"/>
      <c r="T190" s="41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</row>
    <row r="191" ht="18.0" customHeight="1">
      <c r="A191" s="37"/>
      <c r="B191" s="10"/>
      <c r="C191" s="10"/>
      <c r="D191" s="38"/>
      <c r="E191" s="38"/>
      <c r="F191" s="10"/>
      <c r="G191" s="10"/>
      <c r="H191" s="10"/>
      <c r="I191" s="10"/>
      <c r="J191" s="10"/>
      <c r="K191" s="38"/>
      <c r="L191" s="10"/>
      <c r="M191" s="38"/>
      <c r="N191" s="38"/>
      <c r="O191" s="38"/>
      <c r="P191" s="39"/>
      <c r="Q191" s="39"/>
      <c r="R191" s="38"/>
      <c r="S191" s="38"/>
      <c r="T191" s="38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</row>
    <row r="192" ht="18.0" customHeight="1">
      <c r="A192" s="40"/>
      <c r="B192" s="17"/>
      <c r="C192" s="17"/>
      <c r="D192" s="41"/>
      <c r="E192" s="41"/>
      <c r="F192" s="17"/>
      <c r="G192" s="17"/>
      <c r="H192" s="17"/>
      <c r="I192" s="17"/>
      <c r="J192" s="17"/>
      <c r="K192" s="41"/>
      <c r="L192" s="17"/>
      <c r="M192" s="41"/>
      <c r="N192" s="41"/>
      <c r="O192" s="41"/>
      <c r="P192" s="42"/>
      <c r="Q192" s="42"/>
      <c r="R192" s="41"/>
      <c r="S192" s="41"/>
      <c r="T192" s="41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</row>
    <row r="193" ht="18.0" customHeight="1">
      <c r="A193" s="37"/>
      <c r="B193" s="10"/>
      <c r="C193" s="10"/>
      <c r="D193" s="38"/>
      <c r="E193" s="38"/>
      <c r="F193" s="10"/>
      <c r="G193" s="10"/>
      <c r="H193" s="10"/>
      <c r="I193" s="10"/>
      <c r="J193" s="10"/>
      <c r="K193" s="38"/>
      <c r="L193" s="10"/>
      <c r="M193" s="38"/>
      <c r="N193" s="38"/>
      <c r="O193" s="38"/>
      <c r="P193" s="39"/>
      <c r="Q193" s="39"/>
      <c r="R193" s="38"/>
      <c r="S193" s="38"/>
      <c r="T193" s="38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</row>
    <row r="194" ht="18.0" customHeight="1">
      <c r="A194" s="40"/>
      <c r="B194" s="17"/>
      <c r="C194" s="17"/>
      <c r="D194" s="41"/>
      <c r="E194" s="41"/>
      <c r="F194" s="17"/>
      <c r="G194" s="17"/>
      <c r="H194" s="17"/>
      <c r="I194" s="17"/>
      <c r="J194" s="17"/>
      <c r="K194" s="41"/>
      <c r="L194" s="17"/>
      <c r="M194" s="41"/>
      <c r="N194" s="41"/>
      <c r="O194" s="41"/>
      <c r="P194" s="42"/>
      <c r="Q194" s="42"/>
      <c r="R194" s="41"/>
      <c r="S194" s="41"/>
      <c r="T194" s="41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</row>
    <row r="195" ht="18.0" customHeight="1">
      <c r="A195" s="37"/>
      <c r="B195" s="10"/>
      <c r="C195" s="10"/>
      <c r="D195" s="38"/>
      <c r="E195" s="38"/>
      <c r="F195" s="10"/>
      <c r="G195" s="10"/>
      <c r="H195" s="10"/>
      <c r="I195" s="10"/>
      <c r="J195" s="10"/>
      <c r="K195" s="38"/>
      <c r="L195" s="10"/>
      <c r="M195" s="38"/>
      <c r="N195" s="38"/>
      <c r="O195" s="38"/>
      <c r="P195" s="39"/>
      <c r="Q195" s="39"/>
      <c r="R195" s="38"/>
      <c r="S195" s="38"/>
      <c r="T195" s="38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</row>
    <row r="196" ht="18.0" customHeight="1">
      <c r="A196" s="40"/>
      <c r="B196" s="17"/>
      <c r="C196" s="17"/>
      <c r="D196" s="41"/>
      <c r="E196" s="41"/>
      <c r="F196" s="17"/>
      <c r="G196" s="17"/>
      <c r="H196" s="17"/>
      <c r="I196" s="17"/>
      <c r="J196" s="17"/>
      <c r="K196" s="41"/>
      <c r="L196" s="17"/>
      <c r="M196" s="41"/>
      <c r="N196" s="41"/>
      <c r="O196" s="41"/>
      <c r="P196" s="42"/>
      <c r="Q196" s="42"/>
      <c r="R196" s="41"/>
      <c r="S196" s="41"/>
      <c r="T196" s="41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</row>
    <row r="197" ht="18.0" customHeight="1">
      <c r="A197" s="37"/>
      <c r="B197" s="10"/>
      <c r="C197" s="10"/>
      <c r="D197" s="38"/>
      <c r="E197" s="38"/>
      <c r="F197" s="10"/>
      <c r="G197" s="10"/>
      <c r="H197" s="10"/>
      <c r="I197" s="10"/>
      <c r="J197" s="10"/>
      <c r="K197" s="38"/>
      <c r="L197" s="10"/>
      <c r="M197" s="38"/>
      <c r="N197" s="38"/>
      <c r="O197" s="38"/>
      <c r="P197" s="39"/>
      <c r="Q197" s="39"/>
      <c r="R197" s="38"/>
      <c r="S197" s="38"/>
      <c r="T197" s="38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</row>
    <row r="198" ht="18.0" customHeight="1">
      <c r="A198" s="40"/>
      <c r="B198" s="17"/>
      <c r="C198" s="17"/>
      <c r="D198" s="41"/>
      <c r="E198" s="41"/>
      <c r="F198" s="17"/>
      <c r="G198" s="17"/>
      <c r="H198" s="17"/>
      <c r="I198" s="17"/>
      <c r="J198" s="17"/>
      <c r="K198" s="41"/>
      <c r="L198" s="17"/>
      <c r="M198" s="41"/>
      <c r="N198" s="41"/>
      <c r="O198" s="41"/>
      <c r="P198" s="42"/>
      <c r="Q198" s="42"/>
      <c r="R198" s="41"/>
      <c r="S198" s="41"/>
      <c r="T198" s="41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</row>
    <row r="199" ht="18.0" customHeight="1">
      <c r="A199" s="37"/>
      <c r="B199" s="10"/>
      <c r="C199" s="10"/>
      <c r="D199" s="38"/>
      <c r="E199" s="38"/>
      <c r="F199" s="10"/>
      <c r="G199" s="10"/>
      <c r="H199" s="10"/>
      <c r="I199" s="10"/>
      <c r="J199" s="10"/>
      <c r="K199" s="38"/>
      <c r="L199" s="10"/>
      <c r="M199" s="38"/>
      <c r="N199" s="38"/>
      <c r="O199" s="38"/>
      <c r="P199" s="39"/>
      <c r="Q199" s="39"/>
      <c r="R199" s="38"/>
      <c r="S199" s="38"/>
      <c r="T199" s="38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</row>
    <row r="200" ht="18.0" customHeight="1">
      <c r="A200" s="40"/>
      <c r="B200" s="17"/>
      <c r="C200" s="17"/>
      <c r="D200" s="41"/>
      <c r="E200" s="41"/>
      <c r="F200" s="17"/>
      <c r="G200" s="17"/>
      <c r="H200" s="17"/>
      <c r="I200" s="17"/>
      <c r="J200" s="17"/>
      <c r="K200" s="41"/>
      <c r="L200" s="17"/>
      <c r="M200" s="41"/>
      <c r="N200" s="41"/>
      <c r="O200" s="41"/>
      <c r="P200" s="42"/>
      <c r="Q200" s="42"/>
      <c r="R200" s="41"/>
      <c r="S200" s="41"/>
      <c r="T200" s="41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</row>
    <row r="201" ht="18.0" customHeight="1">
      <c r="A201" s="37"/>
      <c r="B201" s="10"/>
      <c r="C201" s="10"/>
      <c r="D201" s="38"/>
      <c r="E201" s="38"/>
      <c r="F201" s="10"/>
      <c r="G201" s="10"/>
      <c r="H201" s="10"/>
      <c r="I201" s="10"/>
      <c r="J201" s="10"/>
      <c r="K201" s="38"/>
      <c r="L201" s="10"/>
      <c r="M201" s="38"/>
      <c r="N201" s="38"/>
      <c r="O201" s="38"/>
      <c r="P201" s="39"/>
      <c r="Q201" s="39"/>
      <c r="R201" s="38"/>
      <c r="S201" s="38"/>
      <c r="T201" s="38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</row>
    <row r="202" ht="18.0" customHeight="1">
      <c r="A202" s="40"/>
      <c r="B202" s="17"/>
      <c r="C202" s="17"/>
      <c r="D202" s="41"/>
      <c r="E202" s="41"/>
      <c r="F202" s="17"/>
      <c r="G202" s="17"/>
      <c r="H202" s="17"/>
      <c r="I202" s="17"/>
      <c r="J202" s="17"/>
      <c r="K202" s="41"/>
      <c r="L202" s="17"/>
      <c r="M202" s="41"/>
      <c r="N202" s="41"/>
      <c r="O202" s="41"/>
      <c r="P202" s="41"/>
      <c r="Q202" s="41"/>
      <c r="R202" s="41"/>
      <c r="S202" s="41"/>
      <c r="T202" s="41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</row>
    <row r="203" ht="18.0" customHeight="1">
      <c r="A203" s="37"/>
      <c r="B203" s="10"/>
      <c r="C203" s="10"/>
      <c r="D203" s="38"/>
      <c r="E203" s="38"/>
      <c r="F203" s="10"/>
      <c r="G203" s="10"/>
      <c r="H203" s="10"/>
      <c r="I203" s="10"/>
      <c r="J203" s="10"/>
      <c r="K203" s="38"/>
      <c r="L203" s="10"/>
      <c r="M203" s="38"/>
      <c r="N203" s="38"/>
      <c r="O203" s="38"/>
      <c r="P203" s="38"/>
      <c r="Q203" s="38"/>
      <c r="R203" s="38"/>
      <c r="S203" s="38"/>
      <c r="T203" s="38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</row>
    <row r="204" ht="18.0" customHeight="1">
      <c r="A204" s="40"/>
      <c r="B204" s="17"/>
      <c r="C204" s="17"/>
      <c r="D204" s="41"/>
      <c r="E204" s="41"/>
      <c r="F204" s="17"/>
      <c r="G204" s="17"/>
      <c r="H204" s="17"/>
      <c r="I204" s="17"/>
      <c r="J204" s="17"/>
      <c r="K204" s="41"/>
      <c r="L204" s="17"/>
      <c r="M204" s="41"/>
      <c r="N204" s="41"/>
      <c r="O204" s="41"/>
      <c r="P204" s="41"/>
      <c r="Q204" s="41"/>
      <c r="R204" s="41"/>
      <c r="S204" s="41"/>
      <c r="T204" s="41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</row>
    <row r="205" ht="18.0" customHeight="1">
      <c r="A205" s="37"/>
      <c r="B205" s="10"/>
      <c r="C205" s="10"/>
      <c r="D205" s="38"/>
      <c r="E205" s="38"/>
      <c r="F205" s="10"/>
      <c r="G205" s="10"/>
      <c r="H205" s="10"/>
      <c r="I205" s="10"/>
      <c r="J205" s="10"/>
      <c r="K205" s="38"/>
      <c r="L205" s="10"/>
      <c r="M205" s="38"/>
      <c r="N205" s="38"/>
      <c r="O205" s="38"/>
      <c r="P205" s="38"/>
      <c r="Q205" s="38"/>
      <c r="R205" s="38"/>
      <c r="S205" s="38"/>
      <c r="T205" s="38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</row>
    <row r="206" ht="18.0" customHeight="1">
      <c r="A206" s="40"/>
      <c r="B206" s="17"/>
      <c r="C206" s="17"/>
      <c r="D206" s="41"/>
      <c r="E206" s="41"/>
      <c r="F206" s="17"/>
      <c r="G206" s="17"/>
      <c r="H206" s="17"/>
      <c r="I206" s="17"/>
      <c r="J206" s="17"/>
      <c r="K206" s="41"/>
      <c r="L206" s="17"/>
      <c r="M206" s="41"/>
      <c r="N206" s="41"/>
      <c r="O206" s="41"/>
      <c r="P206" s="41"/>
      <c r="Q206" s="41"/>
      <c r="R206" s="41"/>
      <c r="S206" s="41"/>
      <c r="T206" s="41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</row>
    <row r="207" ht="18.0" customHeight="1">
      <c r="A207" s="37"/>
      <c r="B207" s="10"/>
      <c r="C207" s="10"/>
      <c r="D207" s="38"/>
      <c r="E207" s="38"/>
      <c r="F207" s="10"/>
      <c r="G207" s="10"/>
      <c r="H207" s="10"/>
      <c r="I207" s="10"/>
      <c r="J207" s="10"/>
      <c r="K207" s="38"/>
      <c r="L207" s="10"/>
      <c r="M207" s="38"/>
      <c r="N207" s="38"/>
      <c r="O207" s="38"/>
      <c r="P207" s="38"/>
      <c r="Q207" s="38"/>
      <c r="R207" s="38"/>
      <c r="S207" s="38"/>
      <c r="T207" s="38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</row>
    <row r="208" ht="18.0" customHeight="1">
      <c r="A208" s="40"/>
      <c r="B208" s="17"/>
      <c r="C208" s="17"/>
      <c r="D208" s="41"/>
      <c r="E208" s="41"/>
      <c r="F208" s="17"/>
      <c r="G208" s="17"/>
      <c r="H208" s="17"/>
      <c r="I208" s="17"/>
      <c r="J208" s="17"/>
      <c r="K208" s="41"/>
      <c r="L208" s="17"/>
      <c r="M208" s="41"/>
      <c r="N208" s="41"/>
      <c r="O208" s="41"/>
      <c r="P208" s="41"/>
      <c r="Q208" s="41"/>
      <c r="R208" s="41"/>
      <c r="S208" s="41"/>
      <c r="T208" s="41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</row>
    <row r="209" ht="18.0" customHeight="1">
      <c r="A209" s="37"/>
      <c r="B209" s="10"/>
      <c r="C209" s="10"/>
      <c r="D209" s="38"/>
      <c r="E209" s="38"/>
      <c r="F209" s="10"/>
      <c r="G209" s="10"/>
      <c r="H209" s="10"/>
      <c r="I209" s="10"/>
      <c r="J209" s="10"/>
      <c r="K209" s="38"/>
      <c r="L209" s="10"/>
      <c r="M209" s="38"/>
      <c r="N209" s="38"/>
      <c r="O209" s="38"/>
      <c r="P209" s="38"/>
      <c r="Q209" s="38"/>
      <c r="R209" s="38"/>
      <c r="S209" s="38"/>
      <c r="T209" s="38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</row>
    <row r="210" ht="18.0" customHeight="1">
      <c r="A210" s="40"/>
      <c r="B210" s="17"/>
      <c r="C210" s="17"/>
      <c r="D210" s="41"/>
      <c r="E210" s="41"/>
      <c r="F210" s="17"/>
      <c r="G210" s="17"/>
      <c r="H210" s="17"/>
      <c r="I210" s="17"/>
      <c r="J210" s="17"/>
      <c r="K210" s="41"/>
      <c r="L210" s="17"/>
      <c r="M210" s="41"/>
      <c r="N210" s="41"/>
      <c r="O210" s="41"/>
      <c r="P210" s="41"/>
      <c r="Q210" s="41"/>
      <c r="R210" s="41"/>
      <c r="S210" s="41"/>
      <c r="T210" s="41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</row>
    <row r="211" ht="18.0" customHeight="1">
      <c r="A211" s="37"/>
      <c r="B211" s="10"/>
      <c r="C211" s="10"/>
      <c r="D211" s="38"/>
      <c r="E211" s="38"/>
      <c r="F211" s="10"/>
      <c r="G211" s="10"/>
      <c r="H211" s="10"/>
      <c r="I211" s="10"/>
      <c r="J211" s="10"/>
      <c r="K211" s="38"/>
      <c r="L211" s="10"/>
      <c r="M211" s="38"/>
      <c r="N211" s="38"/>
      <c r="O211" s="38"/>
      <c r="P211" s="38"/>
      <c r="Q211" s="38"/>
      <c r="R211" s="38"/>
      <c r="S211" s="38"/>
      <c r="T211" s="38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</row>
    <row r="212" ht="18.0" customHeight="1">
      <c r="A212" s="40"/>
      <c r="B212" s="17"/>
      <c r="C212" s="17"/>
      <c r="D212" s="41"/>
      <c r="E212" s="41"/>
      <c r="F212" s="17"/>
      <c r="G212" s="17"/>
      <c r="H212" s="17"/>
      <c r="I212" s="17"/>
      <c r="J212" s="17"/>
      <c r="K212" s="41"/>
      <c r="L212" s="17"/>
      <c r="M212" s="41"/>
      <c r="N212" s="41"/>
      <c r="O212" s="41"/>
      <c r="P212" s="41"/>
      <c r="Q212" s="41"/>
      <c r="R212" s="41"/>
      <c r="S212" s="41"/>
      <c r="T212" s="41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</row>
    <row r="213" ht="18.0" customHeight="1">
      <c r="A213" s="37"/>
      <c r="B213" s="10"/>
      <c r="C213" s="10"/>
      <c r="D213" s="38"/>
      <c r="E213" s="38"/>
      <c r="F213" s="10"/>
      <c r="G213" s="10"/>
      <c r="H213" s="10"/>
      <c r="I213" s="10"/>
      <c r="J213" s="10"/>
      <c r="K213" s="38"/>
      <c r="L213" s="10"/>
      <c r="M213" s="38"/>
      <c r="N213" s="38"/>
      <c r="O213" s="38"/>
      <c r="P213" s="38"/>
      <c r="Q213" s="38"/>
      <c r="R213" s="38"/>
      <c r="S213" s="38"/>
      <c r="T213" s="38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</row>
    <row r="214" ht="18.0" customHeight="1">
      <c r="A214" s="40"/>
      <c r="B214" s="17"/>
      <c r="C214" s="17"/>
      <c r="D214" s="41"/>
      <c r="E214" s="41"/>
      <c r="F214" s="17"/>
      <c r="G214" s="17"/>
      <c r="H214" s="17"/>
      <c r="I214" s="17"/>
      <c r="J214" s="17"/>
      <c r="K214" s="41"/>
      <c r="L214" s="17"/>
      <c r="M214" s="41"/>
      <c r="N214" s="41"/>
      <c r="O214" s="41"/>
      <c r="P214" s="41"/>
      <c r="Q214" s="41"/>
      <c r="R214" s="41"/>
      <c r="S214" s="41"/>
      <c r="T214" s="41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</row>
    <row r="215" ht="18.0" customHeight="1">
      <c r="A215" s="37"/>
      <c r="B215" s="10"/>
      <c r="C215" s="10"/>
      <c r="D215" s="38"/>
      <c r="E215" s="38"/>
      <c r="F215" s="10"/>
      <c r="G215" s="10"/>
      <c r="H215" s="10"/>
      <c r="I215" s="10"/>
      <c r="J215" s="10"/>
      <c r="K215" s="38"/>
      <c r="L215" s="10"/>
      <c r="M215" s="38"/>
      <c r="N215" s="38"/>
      <c r="O215" s="38"/>
      <c r="P215" s="38"/>
      <c r="Q215" s="38"/>
      <c r="R215" s="38"/>
      <c r="S215" s="38"/>
      <c r="T215" s="38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</row>
    <row r="216" ht="18.0" customHeight="1">
      <c r="A216" s="40"/>
      <c r="B216" s="17"/>
      <c r="C216" s="17"/>
      <c r="D216" s="41"/>
      <c r="E216" s="41"/>
      <c r="F216" s="17"/>
      <c r="G216" s="17"/>
      <c r="H216" s="17"/>
      <c r="I216" s="17"/>
      <c r="J216" s="17"/>
      <c r="K216" s="41"/>
      <c r="L216" s="17"/>
      <c r="M216" s="41"/>
      <c r="N216" s="41"/>
      <c r="O216" s="41"/>
      <c r="P216" s="41"/>
      <c r="Q216" s="41"/>
      <c r="R216" s="41"/>
      <c r="S216" s="41"/>
      <c r="T216" s="41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</row>
    <row r="217" ht="18.0" customHeight="1">
      <c r="A217" s="37"/>
      <c r="B217" s="10"/>
      <c r="C217" s="10"/>
      <c r="D217" s="38"/>
      <c r="E217" s="38"/>
      <c r="F217" s="10"/>
      <c r="G217" s="10"/>
      <c r="H217" s="10"/>
      <c r="I217" s="10"/>
      <c r="J217" s="10"/>
      <c r="K217" s="38"/>
      <c r="L217" s="10"/>
      <c r="M217" s="38"/>
      <c r="N217" s="38"/>
      <c r="O217" s="38"/>
      <c r="P217" s="38"/>
      <c r="Q217" s="38"/>
      <c r="R217" s="38"/>
      <c r="S217" s="38"/>
      <c r="T217" s="38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</row>
    <row r="218" ht="18.0" customHeight="1">
      <c r="A218" s="40"/>
      <c r="B218" s="17"/>
      <c r="C218" s="17"/>
      <c r="D218" s="41"/>
      <c r="E218" s="41"/>
      <c r="F218" s="17"/>
      <c r="G218" s="17"/>
      <c r="H218" s="17"/>
      <c r="I218" s="17"/>
      <c r="J218" s="17"/>
      <c r="K218" s="41"/>
      <c r="L218" s="17"/>
      <c r="M218" s="41"/>
      <c r="N218" s="41"/>
      <c r="O218" s="41"/>
      <c r="P218" s="41"/>
      <c r="Q218" s="41"/>
      <c r="R218" s="41"/>
      <c r="S218" s="41"/>
      <c r="T218" s="41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</row>
    <row r="219" ht="18.0" customHeight="1">
      <c r="A219" s="37"/>
      <c r="B219" s="10"/>
      <c r="C219" s="10"/>
      <c r="D219" s="38"/>
      <c r="E219" s="38"/>
      <c r="F219" s="10"/>
      <c r="G219" s="10"/>
      <c r="H219" s="10"/>
      <c r="I219" s="10"/>
      <c r="J219" s="10"/>
      <c r="K219" s="38"/>
      <c r="L219" s="10"/>
      <c r="M219" s="38"/>
      <c r="N219" s="38"/>
      <c r="O219" s="38"/>
      <c r="P219" s="38"/>
      <c r="Q219" s="38"/>
      <c r="R219" s="38"/>
      <c r="S219" s="38"/>
      <c r="T219" s="38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</row>
    <row r="220" ht="18.0" customHeight="1">
      <c r="A220" s="40"/>
      <c r="B220" s="17"/>
      <c r="C220" s="17"/>
      <c r="D220" s="41"/>
      <c r="E220" s="41"/>
      <c r="F220" s="17"/>
      <c r="G220" s="17"/>
      <c r="H220" s="17"/>
      <c r="I220" s="17"/>
      <c r="J220" s="17"/>
      <c r="K220" s="41"/>
      <c r="L220" s="17"/>
      <c r="M220" s="41"/>
      <c r="N220" s="41"/>
      <c r="O220" s="41"/>
      <c r="P220" s="41"/>
      <c r="Q220" s="41"/>
      <c r="R220" s="41"/>
      <c r="S220" s="41"/>
      <c r="T220" s="41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</row>
    <row r="221" ht="18.0" customHeight="1">
      <c r="A221" s="37"/>
      <c r="B221" s="10"/>
      <c r="C221" s="10"/>
      <c r="D221" s="38"/>
      <c r="E221" s="38"/>
      <c r="F221" s="10"/>
      <c r="G221" s="10"/>
      <c r="H221" s="10"/>
      <c r="I221" s="10"/>
      <c r="J221" s="10"/>
      <c r="K221" s="38"/>
      <c r="L221" s="10"/>
      <c r="M221" s="38"/>
      <c r="N221" s="38"/>
      <c r="O221" s="38"/>
      <c r="P221" s="38"/>
      <c r="Q221" s="38"/>
      <c r="R221" s="38"/>
      <c r="S221" s="38"/>
      <c r="T221" s="38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</row>
    <row r="222" ht="18.0" customHeight="1">
      <c r="A222" s="40"/>
      <c r="B222" s="17"/>
      <c r="C222" s="17"/>
      <c r="D222" s="41"/>
      <c r="E222" s="41"/>
      <c r="F222" s="17"/>
      <c r="G222" s="17"/>
      <c r="H222" s="17"/>
      <c r="I222" s="17"/>
      <c r="J222" s="17"/>
      <c r="K222" s="41"/>
      <c r="L222" s="17"/>
      <c r="M222" s="41"/>
      <c r="N222" s="41"/>
      <c r="O222" s="41"/>
      <c r="P222" s="41"/>
      <c r="Q222" s="41"/>
      <c r="R222" s="41"/>
      <c r="S222" s="41"/>
      <c r="T222" s="41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</row>
    <row r="223" ht="18.0" customHeight="1">
      <c r="A223" s="37"/>
      <c r="B223" s="10"/>
      <c r="C223" s="10"/>
      <c r="D223" s="38"/>
      <c r="E223" s="38"/>
      <c r="F223" s="10"/>
      <c r="G223" s="10"/>
      <c r="H223" s="10"/>
      <c r="I223" s="10"/>
      <c r="J223" s="10"/>
      <c r="K223" s="38"/>
      <c r="L223" s="10"/>
      <c r="M223" s="38"/>
      <c r="N223" s="38"/>
      <c r="O223" s="38"/>
      <c r="P223" s="38"/>
      <c r="Q223" s="38"/>
      <c r="R223" s="38"/>
      <c r="S223" s="38"/>
      <c r="T223" s="38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</row>
    <row r="224" ht="18.0" customHeight="1">
      <c r="A224" s="40"/>
      <c r="B224" s="17"/>
      <c r="C224" s="17"/>
      <c r="D224" s="41"/>
      <c r="E224" s="41"/>
      <c r="F224" s="17"/>
      <c r="G224" s="17"/>
      <c r="H224" s="17"/>
      <c r="I224" s="17"/>
      <c r="J224" s="17"/>
      <c r="K224" s="41"/>
      <c r="L224" s="17"/>
      <c r="M224" s="41"/>
      <c r="N224" s="41"/>
      <c r="O224" s="41"/>
      <c r="P224" s="41"/>
      <c r="Q224" s="41"/>
      <c r="R224" s="41"/>
      <c r="S224" s="41"/>
      <c r="T224" s="41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</row>
    <row r="225" ht="18.0" customHeight="1">
      <c r="A225" s="37"/>
      <c r="B225" s="10"/>
      <c r="C225" s="10"/>
      <c r="D225" s="38"/>
      <c r="E225" s="38"/>
      <c r="F225" s="10"/>
      <c r="G225" s="10"/>
      <c r="H225" s="10"/>
      <c r="I225" s="10"/>
      <c r="J225" s="10"/>
      <c r="K225" s="38"/>
      <c r="L225" s="10"/>
      <c r="M225" s="38"/>
      <c r="N225" s="38"/>
      <c r="O225" s="38"/>
      <c r="P225" s="38"/>
      <c r="Q225" s="38"/>
      <c r="R225" s="38"/>
      <c r="S225" s="38"/>
      <c r="T225" s="38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</row>
    <row r="226" ht="18.0" customHeight="1">
      <c r="A226" s="40"/>
      <c r="B226" s="17"/>
      <c r="C226" s="17"/>
      <c r="D226" s="41"/>
      <c r="E226" s="41"/>
      <c r="F226" s="17"/>
      <c r="G226" s="17"/>
      <c r="H226" s="17"/>
      <c r="I226" s="17"/>
      <c r="J226" s="17"/>
      <c r="K226" s="41"/>
      <c r="L226" s="17"/>
      <c r="M226" s="41"/>
      <c r="N226" s="41"/>
      <c r="O226" s="41"/>
      <c r="P226" s="41"/>
      <c r="Q226" s="41"/>
      <c r="R226" s="41"/>
      <c r="S226" s="41"/>
      <c r="T226" s="41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</row>
    <row r="227" ht="18.0" customHeight="1">
      <c r="A227" s="37"/>
      <c r="B227" s="10"/>
      <c r="C227" s="10"/>
      <c r="D227" s="38"/>
      <c r="E227" s="38"/>
      <c r="F227" s="10"/>
      <c r="G227" s="10"/>
      <c r="H227" s="10"/>
      <c r="I227" s="10"/>
      <c r="J227" s="10"/>
      <c r="K227" s="38"/>
      <c r="L227" s="10"/>
      <c r="M227" s="38"/>
      <c r="N227" s="38"/>
      <c r="O227" s="38"/>
      <c r="P227" s="38"/>
      <c r="Q227" s="38"/>
      <c r="R227" s="38"/>
      <c r="S227" s="38"/>
      <c r="T227" s="38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</row>
    <row r="228" ht="18.0" customHeight="1">
      <c r="A228" s="40"/>
      <c r="B228" s="17"/>
      <c r="C228" s="17"/>
      <c r="D228" s="41"/>
      <c r="E228" s="41"/>
      <c r="F228" s="17"/>
      <c r="G228" s="17"/>
      <c r="H228" s="17"/>
      <c r="I228" s="17"/>
      <c r="J228" s="17"/>
      <c r="K228" s="41"/>
      <c r="L228" s="17"/>
      <c r="M228" s="41"/>
      <c r="N228" s="41"/>
      <c r="O228" s="41"/>
      <c r="P228" s="41"/>
      <c r="Q228" s="41"/>
      <c r="R228" s="41"/>
      <c r="S228" s="41"/>
      <c r="T228" s="41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</row>
    <row r="229" ht="18.0" customHeight="1">
      <c r="A229" s="37"/>
      <c r="B229" s="10"/>
      <c r="C229" s="10"/>
      <c r="D229" s="38"/>
      <c r="E229" s="38"/>
      <c r="F229" s="10"/>
      <c r="G229" s="10"/>
      <c r="H229" s="10"/>
      <c r="I229" s="10"/>
      <c r="J229" s="10"/>
      <c r="K229" s="38"/>
      <c r="L229" s="10"/>
      <c r="M229" s="38"/>
      <c r="N229" s="38"/>
      <c r="O229" s="38"/>
      <c r="P229" s="38"/>
      <c r="Q229" s="38"/>
      <c r="R229" s="38"/>
      <c r="S229" s="38"/>
      <c r="T229" s="38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</row>
    <row r="230" ht="18.0" customHeight="1">
      <c r="A230" s="40"/>
      <c r="B230" s="17"/>
      <c r="C230" s="17"/>
      <c r="D230" s="41"/>
      <c r="E230" s="41"/>
      <c r="F230" s="17"/>
      <c r="G230" s="17"/>
      <c r="H230" s="17"/>
      <c r="I230" s="17"/>
      <c r="J230" s="17"/>
      <c r="K230" s="41"/>
      <c r="L230" s="17"/>
      <c r="M230" s="41"/>
      <c r="N230" s="41"/>
      <c r="O230" s="41"/>
      <c r="P230" s="41"/>
      <c r="Q230" s="41"/>
      <c r="R230" s="41"/>
      <c r="S230" s="41"/>
      <c r="T230" s="41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</row>
    <row r="231" ht="18.0" customHeight="1">
      <c r="A231" s="37"/>
      <c r="B231" s="10"/>
      <c r="C231" s="10"/>
      <c r="D231" s="38"/>
      <c r="E231" s="38"/>
      <c r="F231" s="10"/>
      <c r="G231" s="10"/>
      <c r="H231" s="10"/>
      <c r="I231" s="10"/>
      <c r="J231" s="10"/>
      <c r="K231" s="38"/>
      <c r="L231" s="10"/>
      <c r="M231" s="38"/>
      <c r="N231" s="38"/>
      <c r="O231" s="38"/>
      <c r="P231" s="38"/>
      <c r="Q231" s="38"/>
      <c r="R231" s="38"/>
      <c r="S231" s="38"/>
      <c r="T231" s="38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</row>
    <row r="232" ht="18.0" customHeight="1">
      <c r="A232" s="40"/>
      <c r="B232" s="17"/>
      <c r="C232" s="17"/>
      <c r="D232" s="41"/>
      <c r="E232" s="41"/>
      <c r="F232" s="17"/>
      <c r="G232" s="17"/>
      <c r="H232" s="17"/>
      <c r="I232" s="17"/>
      <c r="J232" s="17"/>
      <c r="K232" s="41"/>
      <c r="L232" s="17"/>
      <c r="M232" s="41"/>
      <c r="N232" s="41"/>
      <c r="O232" s="41"/>
      <c r="P232" s="41"/>
      <c r="Q232" s="41"/>
      <c r="R232" s="41"/>
      <c r="S232" s="41"/>
      <c r="T232" s="41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</row>
    <row r="233" ht="18.0" customHeight="1">
      <c r="A233" s="37"/>
      <c r="B233" s="10"/>
      <c r="C233" s="10"/>
      <c r="D233" s="38"/>
      <c r="E233" s="38"/>
      <c r="F233" s="10"/>
      <c r="G233" s="10"/>
      <c r="H233" s="10"/>
      <c r="I233" s="10"/>
      <c r="J233" s="10"/>
      <c r="K233" s="38"/>
      <c r="L233" s="10"/>
      <c r="M233" s="38"/>
      <c r="N233" s="38"/>
      <c r="O233" s="38"/>
      <c r="P233" s="38"/>
      <c r="Q233" s="38"/>
      <c r="R233" s="38"/>
      <c r="S233" s="38"/>
      <c r="T233" s="38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</row>
    <row r="234" ht="18.0" customHeight="1">
      <c r="A234" s="40"/>
      <c r="B234" s="17"/>
      <c r="C234" s="17"/>
      <c r="D234" s="41"/>
      <c r="E234" s="41"/>
      <c r="F234" s="17"/>
      <c r="G234" s="17"/>
      <c r="H234" s="17"/>
      <c r="I234" s="17"/>
      <c r="J234" s="17"/>
      <c r="K234" s="41"/>
      <c r="L234" s="17"/>
      <c r="M234" s="41"/>
      <c r="N234" s="41"/>
      <c r="O234" s="41"/>
      <c r="P234" s="41"/>
      <c r="Q234" s="41"/>
      <c r="R234" s="41"/>
      <c r="S234" s="41"/>
      <c r="T234" s="41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</row>
    <row r="235" ht="18.0" customHeight="1">
      <c r="A235" s="37"/>
      <c r="B235" s="10"/>
      <c r="C235" s="10"/>
      <c r="D235" s="38"/>
      <c r="E235" s="38"/>
      <c r="F235" s="10"/>
      <c r="G235" s="10"/>
      <c r="H235" s="10"/>
      <c r="I235" s="10"/>
      <c r="J235" s="10"/>
      <c r="K235" s="38"/>
      <c r="L235" s="10"/>
      <c r="M235" s="38"/>
      <c r="N235" s="38"/>
      <c r="O235" s="38"/>
      <c r="P235" s="38"/>
      <c r="Q235" s="38"/>
      <c r="R235" s="38"/>
      <c r="S235" s="38"/>
      <c r="T235" s="38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</row>
    <row r="236" ht="18.0" customHeight="1">
      <c r="A236" s="40"/>
      <c r="B236" s="17"/>
      <c r="C236" s="17"/>
      <c r="D236" s="41"/>
      <c r="E236" s="41"/>
      <c r="F236" s="17"/>
      <c r="G236" s="17"/>
      <c r="H236" s="17"/>
      <c r="I236" s="17"/>
      <c r="J236" s="17"/>
      <c r="K236" s="41"/>
      <c r="L236" s="17"/>
      <c r="M236" s="41"/>
      <c r="N236" s="41"/>
      <c r="O236" s="41"/>
      <c r="P236" s="41"/>
      <c r="Q236" s="41"/>
      <c r="R236" s="41"/>
      <c r="S236" s="41"/>
      <c r="T236" s="41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</row>
    <row r="237" ht="18.0" customHeight="1">
      <c r="A237" s="37"/>
      <c r="B237" s="10"/>
      <c r="C237" s="10"/>
      <c r="D237" s="38"/>
      <c r="E237" s="38"/>
      <c r="F237" s="10"/>
      <c r="G237" s="10"/>
      <c r="H237" s="10"/>
      <c r="I237" s="10"/>
      <c r="J237" s="10"/>
      <c r="K237" s="38"/>
      <c r="L237" s="10"/>
      <c r="M237" s="38"/>
      <c r="N237" s="38"/>
      <c r="O237" s="38"/>
      <c r="P237" s="38"/>
      <c r="Q237" s="38"/>
      <c r="R237" s="38"/>
      <c r="S237" s="38"/>
      <c r="T237" s="38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ht="18.0" customHeight="1">
      <c r="A238" s="40"/>
      <c r="B238" s="17"/>
      <c r="C238" s="17"/>
      <c r="D238" s="41"/>
      <c r="E238" s="41"/>
      <c r="F238" s="17"/>
      <c r="G238" s="17"/>
      <c r="H238" s="17"/>
      <c r="I238" s="17"/>
      <c r="J238" s="17"/>
      <c r="K238" s="41"/>
      <c r="L238" s="17"/>
      <c r="M238" s="41"/>
      <c r="N238" s="41"/>
      <c r="O238" s="41"/>
      <c r="P238" s="41"/>
      <c r="Q238" s="41"/>
      <c r="R238" s="41"/>
      <c r="S238" s="41"/>
      <c r="T238" s="41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</row>
    <row r="239" ht="18.0" customHeight="1">
      <c r="A239" s="37"/>
      <c r="B239" s="10"/>
      <c r="C239" s="10"/>
      <c r="D239" s="38"/>
      <c r="E239" s="38"/>
      <c r="F239" s="10"/>
      <c r="G239" s="10"/>
      <c r="H239" s="10"/>
      <c r="I239" s="10"/>
      <c r="J239" s="10"/>
      <c r="K239" s="38"/>
      <c r="L239" s="10"/>
      <c r="M239" s="38"/>
      <c r="N239" s="38"/>
      <c r="O239" s="38"/>
      <c r="P239" s="38"/>
      <c r="Q239" s="38"/>
      <c r="R239" s="38"/>
      <c r="S239" s="38"/>
      <c r="T239" s="38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ht="18.0" customHeight="1">
      <c r="A240" s="40"/>
      <c r="B240" s="17"/>
      <c r="C240" s="17"/>
      <c r="D240" s="41"/>
      <c r="E240" s="41"/>
      <c r="F240" s="17"/>
      <c r="G240" s="17"/>
      <c r="H240" s="17"/>
      <c r="I240" s="17"/>
      <c r="J240" s="17"/>
      <c r="K240" s="41"/>
      <c r="L240" s="17"/>
      <c r="M240" s="41"/>
      <c r="N240" s="41"/>
      <c r="O240" s="41"/>
      <c r="P240" s="41"/>
      <c r="Q240" s="41"/>
      <c r="R240" s="41"/>
      <c r="S240" s="41"/>
      <c r="T240" s="41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</row>
    <row r="241" ht="18.0" customHeight="1">
      <c r="A241" s="37"/>
      <c r="B241" s="10"/>
      <c r="C241" s="10"/>
      <c r="D241" s="38"/>
      <c r="E241" s="38"/>
      <c r="F241" s="10"/>
      <c r="G241" s="10"/>
      <c r="H241" s="10"/>
      <c r="I241" s="10"/>
      <c r="J241" s="10"/>
      <c r="K241" s="38"/>
      <c r="L241" s="10"/>
      <c r="M241" s="38"/>
      <c r="N241" s="38"/>
      <c r="O241" s="38"/>
      <c r="P241" s="38"/>
      <c r="Q241" s="38"/>
      <c r="R241" s="38"/>
      <c r="S241" s="38"/>
      <c r="T241" s="38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</row>
    <row r="242" ht="18.0" customHeight="1">
      <c r="A242" s="40"/>
      <c r="B242" s="17"/>
      <c r="C242" s="17"/>
      <c r="D242" s="41"/>
      <c r="E242" s="41"/>
      <c r="F242" s="17"/>
      <c r="G242" s="17"/>
      <c r="H242" s="17"/>
      <c r="I242" s="17"/>
      <c r="J242" s="17"/>
      <c r="K242" s="41"/>
      <c r="L242" s="17"/>
      <c r="M242" s="41"/>
      <c r="N242" s="41"/>
      <c r="O242" s="41"/>
      <c r="P242" s="41"/>
      <c r="Q242" s="41"/>
      <c r="R242" s="41"/>
      <c r="S242" s="41"/>
      <c r="T242" s="41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</row>
    <row r="243" ht="18.0" customHeight="1">
      <c r="A243" s="37"/>
      <c r="B243" s="10"/>
      <c r="C243" s="10"/>
      <c r="D243" s="38"/>
      <c r="E243" s="38"/>
      <c r="F243" s="10"/>
      <c r="G243" s="10"/>
      <c r="H243" s="10"/>
      <c r="I243" s="10"/>
      <c r="J243" s="10"/>
      <c r="K243" s="38"/>
      <c r="L243" s="10"/>
      <c r="M243" s="38"/>
      <c r="N243" s="38"/>
      <c r="O243" s="38"/>
      <c r="P243" s="38"/>
      <c r="Q243" s="38"/>
      <c r="R243" s="38"/>
      <c r="S243" s="38"/>
      <c r="T243" s="38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</row>
    <row r="244" ht="18.0" customHeight="1">
      <c r="A244" s="40"/>
      <c r="B244" s="17"/>
      <c r="C244" s="17"/>
      <c r="D244" s="41"/>
      <c r="E244" s="41"/>
      <c r="F244" s="17"/>
      <c r="G244" s="17"/>
      <c r="H244" s="17"/>
      <c r="I244" s="17"/>
      <c r="J244" s="17"/>
      <c r="K244" s="41"/>
      <c r="L244" s="17"/>
      <c r="M244" s="41"/>
      <c r="N244" s="41"/>
      <c r="O244" s="41"/>
      <c r="P244" s="41"/>
      <c r="Q244" s="41"/>
      <c r="R244" s="41"/>
      <c r="S244" s="41"/>
      <c r="T244" s="41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</row>
    <row r="245" ht="18.0" customHeight="1">
      <c r="A245" s="37"/>
      <c r="B245" s="10"/>
      <c r="C245" s="10"/>
      <c r="D245" s="38"/>
      <c r="E245" s="38"/>
      <c r="F245" s="10"/>
      <c r="G245" s="10"/>
      <c r="H245" s="10"/>
      <c r="I245" s="10"/>
      <c r="J245" s="10"/>
      <c r="K245" s="38"/>
      <c r="L245" s="10"/>
      <c r="M245" s="38"/>
      <c r="N245" s="38"/>
      <c r="O245" s="38"/>
      <c r="P245" s="38"/>
      <c r="Q245" s="38"/>
      <c r="R245" s="38"/>
      <c r="S245" s="38"/>
      <c r="T245" s="38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</row>
    <row r="246" ht="18.0" customHeight="1">
      <c r="A246" s="40"/>
      <c r="B246" s="17"/>
      <c r="C246" s="17"/>
      <c r="D246" s="41"/>
      <c r="E246" s="41"/>
      <c r="F246" s="17"/>
      <c r="G246" s="17"/>
      <c r="H246" s="17"/>
      <c r="I246" s="17"/>
      <c r="J246" s="17"/>
      <c r="K246" s="41"/>
      <c r="L246" s="17"/>
      <c r="M246" s="41"/>
      <c r="N246" s="41"/>
      <c r="O246" s="41"/>
      <c r="P246" s="41"/>
      <c r="Q246" s="41"/>
      <c r="R246" s="41"/>
      <c r="S246" s="41"/>
      <c r="T246" s="41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</row>
    <row r="247" ht="18.0" customHeight="1">
      <c r="A247" s="37"/>
      <c r="B247" s="10"/>
      <c r="C247" s="10"/>
      <c r="D247" s="38"/>
      <c r="E247" s="38"/>
      <c r="F247" s="10"/>
      <c r="G247" s="10"/>
      <c r="H247" s="10"/>
      <c r="I247" s="10"/>
      <c r="J247" s="10"/>
      <c r="K247" s="38"/>
      <c r="L247" s="10"/>
      <c r="M247" s="38"/>
      <c r="N247" s="38"/>
      <c r="O247" s="38"/>
      <c r="P247" s="38"/>
      <c r="Q247" s="38"/>
      <c r="R247" s="38"/>
      <c r="S247" s="38"/>
      <c r="T247" s="38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</row>
    <row r="248" ht="18.0" customHeight="1">
      <c r="A248" s="40"/>
      <c r="B248" s="17"/>
      <c r="C248" s="17"/>
      <c r="D248" s="41"/>
      <c r="E248" s="41"/>
      <c r="F248" s="17"/>
      <c r="G248" s="17"/>
      <c r="H248" s="17"/>
      <c r="I248" s="17"/>
      <c r="J248" s="17"/>
      <c r="K248" s="41"/>
      <c r="L248" s="17"/>
      <c r="M248" s="41"/>
      <c r="N248" s="41"/>
      <c r="O248" s="41"/>
      <c r="P248" s="41"/>
      <c r="Q248" s="41"/>
      <c r="R248" s="41"/>
      <c r="S248" s="41"/>
      <c r="T248" s="41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</row>
    <row r="249" ht="18.0" customHeight="1">
      <c r="A249" s="37"/>
      <c r="B249" s="10"/>
      <c r="C249" s="10"/>
      <c r="D249" s="38"/>
      <c r="E249" s="38"/>
      <c r="F249" s="10"/>
      <c r="G249" s="10"/>
      <c r="H249" s="10"/>
      <c r="I249" s="10"/>
      <c r="J249" s="10"/>
      <c r="K249" s="38"/>
      <c r="L249" s="10"/>
      <c r="M249" s="38"/>
      <c r="N249" s="38"/>
      <c r="O249" s="38"/>
      <c r="P249" s="38"/>
      <c r="Q249" s="38"/>
      <c r="R249" s="38"/>
      <c r="S249" s="38"/>
      <c r="T249" s="38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</row>
    <row r="250" ht="18.0" customHeight="1">
      <c r="A250" s="40"/>
      <c r="B250" s="17"/>
      <c r="C250" s="17"/>
      <c r="D250" s="41"/>
      <c r="E250" s="41"/>
      <c r="F250" s="17"/>
      <c r="G250" s="17"/>
      <c r="H250" s="17"/>
      <c r="I250" s="17"/>
      <c r="J250" s="17"/>
      <c r="K250" s="41"/>
      <c r="L250" s="17"/>
      <c r="M250" s="41"/>
      <c r="N250" s="41"/>
      <c r="O250" s="41"/>
      <c r="P250" s="41"/>
      <c r="Q250" s="41"/>
      <c r="R250" s="41"/>
      <c r="S250" s="41"/>
      <c r="T250" s="41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</row>
    <row r="251" ht="18.0" customHeight="1">
      <c r="A251" s="37"/>
      <c r="B251" s="10"/>
      <c r="C251" s="10"/>
      <c r="D251" s="38"/>
      <c r="E251" s="38"/>
      <c r="F251" s="10"/>
      <c r="G251" s="10"/>
      <c r="H251" s="10"/>
      <c r="I251" s="10"/>
      <c r="J251" s="10"/>
      <c r="K251" s="38"/>
      <c r="L251" s="10"/>
      <c r="M251" s="38"/>
      <c r="N251" s="38"/>
      <c r="O251" s="38"/>
      <c r="P251" s="38"/>
      <c r="Q251" s="38"/>
      <c r="R251" s="38"/>
      <c r="S251" s="38"/>
      <c r="T251" s="38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</row>
    <row r="252" ht="18.0" customHeight="1">
      <c r="A252" s="40"/>
      <c r="B252" s="17"/>
      <c r="C252" s="17"/>
      <c r="D252" s="41"/>
      <c r="E252" s="41"/>
      <c r="F252" s="17"/>
      <c r="G252" s="17"/>
      <c r="H252" s="17"/>
      <c r="I252" s="17"/>
      <c r="J252" s="17"/>
      <c r="K252" s="41"/>
      <c r="L252" s="17"/>
      <c r="M252" s="41"/>
      <c r="N252" s="41"/>
      <c r="O252" s="41"/>
      <c r="P252" s="41"/>
      <c r="Q252" s="41"/>
      <c r="R252" s="41"/>
      <c r="S252" s="41"/>
      <c r="T252" s="41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</row>
    <row r="253" ht="18.0" customHeight="1">
      <c r="A253" s="37"/>
      <c r="B253" s="10"/>
      <c r="C253" s="10"/>
      <c r="D253" s="38"/>
      <c r="E253" s="38"/>
      <c r="F253" s="10"/>
      <c r="G253" s="10"/>
      <c r="H253" s="10"/>
      <c r="I253" s="10"/>
      <c r="J253" s="10"/>
      <c r="K253" s="38"/>
      <c r="L253" s="10"/>
      <c r="M253" s="38"/>
      <c r="N253" s="38"/>
      <c r="O253" s="38"/>
      <c r="P253" s="38"/>
      <c r="Q253" s="38"/>
      <c r="R253" s="38"/>
      <c r="S253" s="38"/>
      <c r="T253" s="38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</row>
    <row r="254" ht="18.0" customHeight="1">
      <c r="A254" s="40"/>
      <c r="B254" s="17"/>
      <c r="C254" s="17"/>
      <c r="D254" s="41"/>
      <c r="E254" s="41"/>
      <c r="F254" s="17"/>
      <c r="G254" s="17"/>
      <c r="H254" s="17"/>
      <c r="I254" s="17"/>
      <c r="J254" s="17"/>
      <c r="K254" s="41"/>
      <c r="L254" s="17"/>
      <c r="M254" s="41"/>
      <c r="N254" s="41"/>
      <c r="O254" s="41"/>
      <c r="P254" s="41"/>
      <c r="Q254" s="41"/>
      <c r="R254" s="41"/>
      <c r="S254" s="41"/>
      <c r="T254" s="41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</row>
    <row r="255" ht="18.0" customHeight="1">
      <c r="A255" s="37"/>
      <c r="B255" s="10"/>
      <c r="C255" s="10"/>
      <c r="D255" s="38"/>
      <c r="E255" s="38"/>
      <c r="F255" s="10"/>
      <c r="G255" s="10"/>
      <c r="H255" s="10"/>
      <c r="I255" s="10"/>
      <c r="J255" s="10"/>
      <c r="K255" s="38"/>
      <c r="L255" s="10"/>
      <c r="M255" s="38"/>
      <c r="N255" s="38"/>
      <c r="O255" s="38"/>
      <c r="P255" s="38"/>
      <c r="Q255" s="38"/>
      <c r="R255" s="38"/>
      <c r="S255" s="38"/>
      <c r="T255" s="38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</row>
    <row r="256" ht="18.0" customHeight="1">
      <c r="A256" s="40"/>
      <c r="B256" s="17"/>
      <c r="C256" s="17"/>
      <c r="D256" s="41"/>
      <c r="E256" s="41"/>
      <c r="F256" s="17"/>
      <c r="G256" s="17"/>
      <c r="H256" s="17"/>
      <c r="I256" s="17"/>
      <c r="J256" s="17"/>
      <c r="K256" s="41"/>
      <c r="L256" s="17"/>
      <c r="M256" s="41"/>
      <c r="N256" s="41"/>
      <c r="O256" s="41"/>
      <c r="P256" s="41"/>
      <c r="Q256" s="41"/>
      <c r="R256" s="41"/>
      <c r="S256" s="41"/>
      <c r="T256" s="41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</row>
    <row r="257" ht="18.0" customHeight="1">
      <c r="A257" s="37"/>
      <c r="B257" s="10"/>
      <c r="C257" s="10"/>
      <c r="D257" s="38"/>
      <c r="E257" s="38"/>
      <c r="F257" s="10"/>
      <c r="G257" s="10"/>
      <c r="H257" s="10"/>
      <c r="I257" s="10"/>
      <c r="J257" s="10"/>
      <c r="K257" s="38"/>
      <c r="L257" s="10"/>
      <c r="M257" s="38"/>
      <c r="N257" s="38"/>
      <c r="O257" s="38"/>
      <c r="P257" s="38"/>
      <c r="Q257" s="38"/>
      <c r="R257" s="38"/>
      <c r="S257" s="38"/>
      <c r="T257" s="38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</row>
    <row r="258" ht="18.0" customHeight="1">
      <c r="A258" s="40"/>
      <c r="B258" s="17"/>
      <c r="C258" s="17"/>
      <c r="D258" s="41"/>
      <c r="E258" s="41"/>
      <c r="F258" s="17"/>
      <c r="G258" s="17"/>
      <c r="H258" s="17"/>
      <c r="I258" s="17"/>
      <c r="J258" s="17"/>
      <c r="K258" s="41"/>
      <c r="L258" s="17"/>
      <c r="M258" s="41"/>
      <c r="N258" s="41"/>
      <c r="O258" s="41"/>
      <c r="P258" s="41"/>
      <c r="Q258" s="41"/>
      <c r="R258" s="41"/>
      <c r="S258" s="41"/>
      <c r="T258" s="41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</row>
    <row r="259" ht="18.0" customHeight="1">
      <c r="A259" s="37"/>
      <c r="B259" s="10"/>
      <c r="C259" s="10"/>
      <c r="D259" s="38"/>
      <c r="E259" s="38"/>
      <c r="F259" s="10"/>
      <c r="G259" s="10"/>
      <c r="H259" s="10"/>
      <c r="I259" s="10"/>
      <c r="J259" s="10"/>
      <c r="K259" s="38"/>
      <c r="L259" s="10"/>
      <c r="M259" s="38"/>
      <c r="N259" s="38"/>
      <c r="O259" s="38"/>
      <c r="P259" s="38"/>
      <c r="Q259" s="38"/>
      <c r="R259" s="38"/>
      <c r="S259" s="38"/>
      <c r="T259" s="38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</row>
    <row r="260" ht="18.0" customHeight="1">
      <c r="A260" s="40"/>
      <c r="B260" s="17"/>
      <c r="C260" s="17"/>
      <c r="D260" s="41"/>
      <c r="E260" s="41"/>
      <c r="F260" s="17"/>
      <c r="G260" s="17"/>
      <c r="H260" s="17"/>
      <c r="I260" s="17"/>
      <c r="J260" s="17"/>
      <c r="K260" s="41"/>
      <c r="L260" s="17"/>
      <c r="M260" s="41"/>
      <c r="N260" s="41"/>
      <c r="O260" s="41"/>
      <c r="P260" s="41"/>
      <c r="Q260" s="41"/>
      <c r="R260" s="41"/>
      <c r="S260" s="41"/>
      <c r="T260" s="41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</row>
    <row r="261" ht="18.0" customHeight="1">
      <c r="A261" s="37"/>
      <c r="B261" s="10"/>
      <c r="C261" s="10"/>
      <c r="D261" s="38"/>
      <c r="E261" s="38"/>
      <c r="F261" s="10"/>
      <c r="G261" s="10"/>
      <c r="H261" s="10"/>
      <c r="I261" s="10"/>
      <c r="J261" s="10"/>
      <c r="K261" s="38"/>
      <c r="L261" s="10"/>
      <c r="M261" s="38"/>
      <c r="N261" s="38"/>
      <c r="O261" s="38"/>
      <c r="P261" s="38"/>
      <c r="Q261" s="38"/>
      <c r="R261" s="38"/>
      <c r="S261" s="38"/>
      <c r="T261" s="38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</row>
    <row r="262" ht="18.0" customHeight="1">
      <c r="A262" s="40"/>
      <c r="B262" s="17"/>
      <c r="C262" s="17"/>
      <c r="D262" s="41"/>
      <c r="E262" s="41"/>
      <c r="F262" s="17"/>
      <c r="G262" s="17"/>
      <c r="H262" s="17"/>
      <c r="I262" s="17"/>
      <c r="J262" s="17"/>
      <c r="K262" s="41"/>
      <c r="L262" s="17"/>
      <c r="M262" s="41"/>
      <c r="N262" s="41"/>
      <c r="O262" s="41"/>
      <c r="P262" s="41"/>
      <c r="Q262" s="41"/>
      <c r="R262" s="41"/>
      <c r="S262" s="41"/>
      <c r="T262" s="41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</row>
    <row r="263" ht="18.0" customHeight="1">
      <c r="A263" s="37"/>
      <c r="B263" s="10"/>
      <c r="C263" s="10"/>
      <c r="D263" s="38"/>
      <c r="E263" s="38"/>
      <c r="F263" s="10"/>
      <c r="G263" s="10"/>
      <c r="H263" s="10"/>
      <c r="I263" s="10"/>
      <c r="J263" s="10"/>
      <c r="K263" s="38"/>
      <c r="L263" s="10"/>
      <c r="M263" s="38"/>
      <c r="N263" s="38"/>
      <c r="O263" s="38"/>
      <c r="P263" s="38"/>
      <c r="Q263" s="38"/>
      <c r="R263" s="38"/>
      <c r="S263" s="38"/>
      <c r="T263" s="38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</row>
    <row r="264" ht="18.0" customHeight="1">
      <c r="A264" s="40"/>
      <c r="B264" s="17"/>
      <c r="C264" s="17"/>
      <c r="D264" s="41"/>
      <c r="E264" s="41"/>
      <c r="F264" s="17"/>
      <c r="G264" s="17"/>
      <c r="H264" s="17"/>
      <c r="I264" s="17"/>
      <c r="J264" s="17"/>
      <c r="K264" s="41"/>
      <c r="L264" s="17"/>
      <c r="M264" s="41"/>
      <c r="N264" s="41"/>
      <c r="O264" s="41"/>
      <c r="P264" s="41"/>
      <c r="Q264" s="41"/>
      <c r="R264" s="41"/>
      <c r="S264" s="41"/>
      <c r="T264" s="41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</row>
    <row r="265" ht="18.0" customHeight="1">
      <c r="A265" s="37"/>
      <c r="B265" s="10"/>
      <c r="C265" s="10"/>
      <c r="D265" s="38"/>
      <c r="E265" s="38"/>
      <c r="F265" s="10"/>
      <c r="G265" s="10"/>
      <c r="H265" s="10"/>
      <c r="I265" s="10"/>
      <c r="J265" s="10"/>
      <c r="K265" s="38"/>
      <c r="L265" s="10"/>
      <c r="M265" s="38"/>
      <c r="N265" s="38"/>
      <c r="O265" s="38"/>
      <c r="P265" s="38"/>
      <c r="Q265" s="38"/>
      <c r="R265" s="38"/>
      <c r="S265" s="38"/>
      <c r="T265" s="38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</row>
    <row r="266" ht="18.0" customHeight="1">
      <c r="A266" s="40"/>
      <c r="B266" s="17"/>
      <c r="C266" s="17"/>
      <c r="D266" s="41"/>
      <c r="E266" s="41"/>
      <c r="F266" s="17"/>
      <c r="G266" s="17"/>
      <c r="H266" s="17"/>
      <c r="I266" s="17"/>
      <c r="J266" s="17"/>
      <c r="K266" s="41"/>
      <c r="L266" s="17"/>
      <c r="M266" s="41"/>
      <c r="N266" s="41"/>
      <c r="O266" s="41"/>
      <c r="P266" s="41"/>
      <c r="Q266" s="41"/>
      <c r="R266" s="41"/>
      <c r="S266" s="41"/>
      <c r="T266" s="41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</row>
    <row r="267" ht="18.0" customHeight="1">
      <c r="A267" s="37"/>
      <c r="B267" s="10"/>
      <c r="C267" s="10"/>
      <c r="D267" s="38"/>
      <c r="E267" s="38"/>
      <c r="F267" s="10"/>
      <c r="G267" s="10"/>
      <c r="H267" s="10"/>
      <c r="I267" s="10"/>
      <c r="J267" s="10"/>
      <c r="K267" s="38"/>
      <c r="L267" s="10"/>
      <c r="M267" s="38"/>
      <c r="N267" s="38"/>
      <c r="O267" s="38"/>
      <c r="P267" s="38"/>
      <c r="Q267" s="38"/>
      <c r="R267" s="38"/>
      <c r="S267" s="38"/>
      <c r="T267" s="38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</row>
    <row r="268" ht="18.0" customHeight="1">
      <c r="A268" s="40"/>
      <c r="B268" s="17"/>
      <c r="C268" s="17"/>
      <c r="D268" s="41"/>
      <c r="E268" s="41"/>
      <c r="F268" s="17"/>
      <c r="G268" s="17"/>
      <c r="H268" s="17"/>
      <c r="I268" s="17"/>
      <c r="J268" s="17"/>
      <c r="K268" s="41"/>
      <c r="L268" s="17"/>
      <c r="M268" s="41"/>
      <c r="N268" s="41"/>
      <c r="O268" s="41"/>
      <c r="P268" s="41"/>
      <c r="Q268" s="41"/>
      <c r="R268" s="41"/>
      <c r="S268" s="41"/>
      <c r="T268" s="41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</row>
    <row r="269" ht="18.0" customHeight="1">
      <c r="A269" s="37"/>
      <c r="B269" s="10"/>
      <c r="C269" s="10"/>
      <c r="D269" s="38"/>
      <c r="E269" s="38"/>
      <c r="F269" s="10"/>
      <c r="G269" s="10"/>
      <c r="H269" s="10"/>
      <c r="I269" s="10"/>
      <c r="J269" s="10"/>
      <c r="K269" s="38"/>
      <c r="L269" s="10"/>
      <c r="M269" s="38"/>
      <c r="N269" s="38"/>
      <c r="O269" s="38"/>
      <c r="P269" s="38"/>
      <c r="Q269" s="38"/>
      <c r="R269" s="38"/>
      <c r="S269" s="38"/>
      <c r="T269" s="38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</row>
    <row r="270" ht="18.0" customHeight="1">
      <c r="A270" s="40"/>
      <c r="B270" s="17"/>
      <c r="C270" s="17"/>
      <c r="D270" s="41"/>
      <c r="E270" s="41"/>
      <c r="F270" s="17"/>
      <c r="G270" s="17"/>
      <c r="H270" s="17"/>
      <c r="I270" s="17"/>
      <c r="J270" s="17"/>
      <c r="K270" s="41"/>
      <c r="L270" s="17"/>
      <c r="M270" s="41"/>
      <c r="N270" s="41"/>
      <c r="O270" s="41"/>
      <c r="P270" s="41"/>
      <c r="Q270" s="41"/>
      <c r="R270" s="41"/>
      <c r="S270" s="41"/>
      <c r="T270" s="41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</row>
    <row r="271" ht="18.0" customHeight="1">
      <c r="A271" s="37"/>
      <c r="B271" s="10"/>
      <c r="C271" s="10"/>
      <c r="D271" s="38"/>
      <c r="E271" s="38"/>
      <c r="F271" s="10"/>
      <c r="G271" s="10"/>
      <c r="H271" s="10"/>
      <c r="I271" s="10"/>
      <c r="J271" s="10"/>
      <c r="K271" s="38"/>
      <c r="L271" s="10"/>
      <c r="M271" s="38"/>
      <c r="N271" s="38"/>
      <c r="O271" s="38"/>
      <c r="P271" s="38"/>
      <c r="Q271" s="38"/>
      <c r="R271" s="38"/>
      <c r="S271" s="38"/>
      <c r="T271" s="38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</row>
    <row r="272" ht="18.0" customHeight="1">
      <c r="A272" s="40"/>
      <c r="B272" s="17"/>
      <c r="C272" s="17"/>
      <c r="D272" s="41"/>
      <c r="E272" s="41"/>
      <c r="F272" s="17"/>
      <c r="G272" s="17"/>
      <c r="H272" s="17"/>
      <c r="I272" s="17"/>
      <c r="J272" s="17"/>
      <c r="K272" s="41"/>
      <c r="L272" s="17"/>
      <c r="M272" s="41"/>
      <c r="N272" s="41"/>
      <c r="O272" s="41"/>
      <c r="P272" s="41"/>
      <c r="Q272" s="41"/>
      <c r="R272" s="41"/>
      <c r="S272" s="41"/>
      <c r="T272" s="41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</row>
    <row r="273" ht="18.0" customHeight="1">
      <c r="A273" s="37"/>
      <c r="B273" s="10"/>
      <c r="C273" s="10"/>
      <c r="D273" s="38"/>
      <c r="E273" s="38"/>
      <c r="F273" s="10"/>
      <c r="G273" s="10"/>
      <c r="H273" s="10"/>
      <c r="I273" s="10"/>
      <c r="J273" s="10"/>
      <c r="K273" s="38"/>
      <c r="L273" s="10"/>
      <c r="M273" s="38"/>
      <c r="N273" s="38"/>
      <c r="O273" s="38"/>
      <c r="P273" s="38"/>
      <c r="Q273" s="38"/>
      <c r="R273" s="38"/>
      <c r="S273" s="38"/>
      <c r="T273" s="38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</row>
    <row r="274" ht="18.0" customHeight="1">
      <c r="A274" s="40"/>
      <c r="B274" s="17"/>
      <c r="C274" s="17"/>
      <c r="D274" s="41"/>
      <c r="E274" s="41"/>
      <c r="F274" s="17"/>
      <c r="G274" s="17"/>
      <c r="H274" s="17"/>
      <c r="I274" s="17"/>
      <c r="J274" s="17"/>
      <c r="K274" s="41"/>
      <c r="L274" s="17"/>
      <c r="M274" s="41"/>
      <c r="N274" s="41"/>
      <c r="O274" s="41"/>
      <c r="P274" s="41"/>
      <c r="Q274" s="41"/>
      <c r="R274" s="41"/>
      <c r="S274" s="41"/>
      <c r="T274" s="41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</row>
    <row r="275" ht="18.0" customHeight="1">
      <c r="A275" s="37"/>
      <c r="B275" s="10"/>
      <c r="C275" s="10"/>
      <c r="D275" s="38"/>
      <c r="E275" s="38"/>
      <c r="F275" s="10"/>
      <c r="G275" s="10"/>
      <c r="H275" s="10"/>
      <c r="I275" s="10"/>
      <c r="J275" s="10"/>
      <c r="K275" s="38"/>
      <c r="L275" s="10"/>
      <c r="M275" s="38"/>
      <c r="N275" s="38"/>
      <c r="O275" s="38"/>
      <c r="P275" s="38"/>
      <c r="Q275" s="38"/>
      <c r="R275" s="38"/>
      <c r="S275" s="38"/>
      <c r="T275" s="38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</row>
    <row r="276" ht="18.0" customHeight="1">
      <c r="A276" s="40"/>
      <c r="B276" s="17"/>
      <c r="C276" s="17"/>
      <c r="D276" s="41"/>
      <c r="E276" s="41"/>
      <c r="F276" s="17"/>
      <c r="G276" s="17"/>
      <c r="H276" s="17"/>
      <c r="I276" s="17"/>
      <c r="J276" s="17"/>
      <c r="K276" s="41"/>
      <c r="L276" s="17"/>
      <c r="M276" s="41"/>
      <c r="N276" s="41"/>
      <c r="O276" s="41"/>
      <c r="P276" s="41"/>
      <c r="Q276" s="41"/>
      <c r="R276" s="41"/>
      <c r="S276" s="41"/>
      <c r="T276" s="41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</row>
    <row r="277" ht="18.0" customHeight="1">
      <c r="A277" s="37"/>
      <c r="B277" s="10"/>
      <c r="C277" s="10"/>
      <c r="D277" s="38"/>
      <c r="E277" s="38"/>
      <c r="F277" s="10"/>
      <c r="G277" s="10"/>
      <c r="H277" s="10"/>
      <c r="I277" s="10"/>
      <c r="J277" s="10"/>
      <c r="K277" s="38"/>
      <c r="L277" s="10"/>
      <c r="M277" s="38"/>
      <c r="N277" s="38"/>
      <c r="O277" s="38"/>
      <c r="P277" s="38"/>
      <c r="Q277" s="38"/>
      <c r="R277" s="38"/>
      <c r="S277" s="38"/>
      <c r="T277" s="38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</row>
    <row r="278" ht="18.0" customHeight="1">
      <c r="A278" s="40"/>
      <c r="B278" s="17"/>
      <c r="C278" s="17"/>
      <c r="D278" s="41"/>
      <c r="E278" s="41"/>
      <c r="F278" s="17"/>
      <c r="G278" s="17"/>
      <c r="H278" s="17"/>
      <c r="I278" s="17"/>
      <c r="J278" s="17"/>
      <c r="K278" s="41"/>
      <c r="L278" s="17"/>
      <c r="M278" s="41"/>
      <c r="N278" s="41"/>
      <c r="O278" s="41"/>
      <c r="P278" s="41"/>
      <c r="Q278" s="41"/>
      <c r="R278" s="41"/>
      <c r="S278" s="41"/>
      <c r="T278" s="41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</row>
    <row r="279" ht="18.0" customHeight="1">
      <c r="A279" s="37"/>
      <c r="B279" s="10"/>
      <c r="C279" s="10"/>
      <c r="D279" s="38"/>
      <c r="E279" s="38"/>
      <c r="F279" s="10"/>
      <c r="G279" s="10"/>
      <c r="H279" s="10"/>
      <c r="I279" s="10"/>
      <c r="J279" s="10"/>
      <c r="K279" s="38"/>
      <c r="L279" s="10"/>
      <c r="M279" s="38"/>
      <c r="N279" s="38"/>
      <c r="O279" s="38"/>
      <c r="P279" s="38"/>
      <c r="Q279" s="38"/>
      <c r="R279" s="38"/>
      <c r="S279" s="38"/>
      <c r="T279" s="38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</row>
    <row r="280" ht="18.0" customHeight="1">
      <c r="A280" s="40"/>
      <c r="B280" s="17"/>
      <c r="C280" s="17"/>
      <c r="D280" s="41"/>
      <c r="E280" s="41"/>
      <c r="F280" s="17"/>
      <c r="G280" s="17"/>
      <c r="H280" s="17"/>
      <c r="I280" s="17"/>
      <c r="J280" s="17"/>
      <c r="K280" s="41"/>
      <c r="L280" s="17"/>
      <c r="M280" s="41"/>
      <c r="N280" s="41"/>
      <c r="O280" s="41"/>
      <c r="P280" s="41"/>
      <c r="Q280" s="41"/>
      <c r="R280" s="41"/>
      <c r="S280" s="41"/>
      <c r="T280" s="41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</row>
    <row r="281" ht="18.0" customHeight="1">
      <c r="A281" s="37"/>
      <c r="B281" s="10"/>
      <c r="C281" s="10"/>
      <c r="D281" s="38"/>
      <c r="E281" s="38"/>
      <c r="F281" s="10"/>
      <c r="G281" s="10"/>
      <c r="H281" s="10"/>
      <c r="I281" s="10"/>
      <c r="J281" s="10"/>
      <c r="K281" s="38"/>
      <c r="L281" s="10"/>
      <c r="M281" s="38"/>
      <c r="N281" s="38"/>
      <c r="O281" s="38"/>
      <c r="P281" s="38"/>
      <c r="Q281" s="38"/>
      <c r="R281" s="38"/>
      <c r="S281" s="38"/>
      <c r="T281" s="38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</row>
    <row r="282" ht="18.0" customHeight="1">
      <c r="A282" s="40"/>
      <c r="B282" s="17"/>
      <c r="C282" s="17"/>
      <c r="D282" s="41"/>
      <c r="E282" s="41"/>
      <c r="F282" s="17"/>
      <c r="G282" s="17"/>
      <c r="H282" s="17"/>
      <c r="I282" s="17"/>
      <c r="J282" s="17"/>
      <c r="K282" s="41"/>
      <c r="L282" s="17"/>
      <c r="M282" s="41"/>
      <c r="N282" s="41"/>
      <c r="O282" s="41"/>
      <c r="P282" s="41"/>
      <c r="Q282" s="41"/>
      <c r="R282" s="41"/>
      <c r="S282" s="41"/>
      <c r="T282" s="41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</row>
    <row r="283" ht="18.0" customHeight="1">
      <c r="A283" s="37"/>
      <c r="B283" s="10"/>
      <c r="C283" s="10"/>
      <c r="D283" s="38"/>
      <c r="E283" s="38"/>
      <c r="F283" s="10"/>
      <c r="G283" s="10"/>
      <c r="H283" s="10"/>
      <c r="I283" s="10"/>
      <c r="J283" s="10"/>
      <c r="K283" s="38"/>
      <c r="L283" s="10"/>
      <c r="M283" s="38"/>
      <c r="N283" s="38"/>
      <c r="O283" s="38"/>
      <c r="P283" s="38"/>
      <c r="Q283" s="38"/>
      <c r="R283" s="38"/>
      <c r="S283" s="38"/>
      <c r="T283" s="38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</row>
    <row r="284" ht="18.0" customHeight="1">
      <c r="A284" s="40"/>
      <c r="B284" s="17"/>
      <c r="C284" s="17"/>
      <c r="D284" s="41"/>
      <c r="E284" s="41"/>
      <c r="F284" s="17"/>
      <c r="G284" s="17"/>
      <c r="H284" s="17"/>
      <c r="I284" s="17"/>
      <c r="J284" s="17"/>
      <c r="K284" s="41"/>
      <c r="L284" s="17"/>
      <c r="M284" s="41"/>
      <c r="N284" s="41"/>
      <c r="O284" s="41"/>
      <c r="P284" s="41"/>
      <c r="Q284" s="41"/>
      <c r="R284" s="41"/>
      <c r="S284" s="41"/>
      <c r="T284" s="41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</row>
    <row r="285" ht="18.0" customHeight="1">
      <c r="A285" s="37"/>
      <c r="B285" s="10"/>
      <c r="C285" s="10"/>
      <c r="D285" s="38"/>
      <c r="E285" s="38"/>
      <c r="F285" s="10"/>
      <c r="G285" s="10"/>
      <c r="H285" s="10"/>
      <c r="I285" s="10"/>
      <c r="J285" s="10"/>
      <c r="K285" s="38"/>
      <c r="L285" s="10"/>
      <c r="M285" s="38"/>
      <c r="N285" s="38"/>
      <c r="O285" s="38"/>
      <c r="P285" s="38"/>
      <c r="Q285" s="38"/>
      <c r="R285" s="38"/>
      <c r="S285" s="38"/>
      <c r="T285" s="38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</row>
    <row r="286" ht="18.0" customHeight="1">
      <c r="A286" s="40"/>
      <c r="B286" s="17"/>
      <c r="C286" s="17"/>
      <c r="D286" s="41"/>
      <c r="E286" s="41"/>
      <c r="F286" s="17"/>
      <c r="G286" s="17"/>
      <c r="H286" s="17"/>
      <c r="I286" s="17"/>
      <c r="J286" s="17"/>
      <c r="K286" s="41"/>
      <c r="L286" s="17"/>
      <c r="M286" s="41"/>
      <c r="N286" s="41"/>
      <c r="O286" s="41"/>
      <c r="P286" s="41"/>
      <c r="Q286" s="41"/>
      <c r="R286" s="41"/>
      <c r="S286" s="41"/>
      <c r="T286" s="41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</row>
    <row r="287" ht="18.0" customHeight="1">
      <c r="A287" s="37"/>
      <c r="B287" s="10"/>
      <c r="C287" s="10"/>
      <c r="D287" s="38"/>
      <c r="E287" s="38"/>
      <c r="F287" s="10"/>
      <c r="G287" s="10"/>
      <c r="H287" s="10"/>
      <c r="I287" s="10"/>
      <c r="J287" s="10"/>
      <c r="K287" s="38"/>
      <c r="L287" s="10"/>
      <c r="M287" s="38"/>
      <c r="N287" s="38"/>
      <c r="O287" s="38"/>
      <c r="P287" s="38"/>
      <c r="Q287" s="38"/>
      <c r="R287" s="38"/>
      <c r="S287" s="38"/>
      <c r="T287" s="38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</row>
    <row r="288" ht="18.0" customHeight="1">
      <c r="A288" s="40"/>
      <c r="B288" s="17"/>
      <c r="C288" s="17"/>
      <c r="D288" s="41"/>
      <c r="E288" s="41"/>
      <c r="F288" s="17"/>
      <c r="G288" s="17"/>
      <c r="H288" s="17"/>
      <c r="I288" s="17"/>
      <c r="J288" s="17"/>
      <c r="K288" s="41"/>
      <c r="L288" s="17"/>
      <c r="M288" s="41"/>
      <c r="N288" s="41"/>
      <c r="O288" s="41"/>
      <c r="P288" s="41"/>
      <c r="Q288" s="41"/>
      <c r="R288" s="41"/>
      <c r="S288" s="41"/>
      <c r="T288" s="41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</row>
    <row r="289" ht="18.0" customHeight="1">
      <c r="A289" s="37"/>
      <c r="B289" s="10"/>
      <c r="C289" s="10"/>
      <c r="D289" s="38"/>
      <c r="E289" s="38"/>
      <c r="F289" s="10"/>
      <c r="G289" s="10"/>
      <c r="H289" s="10"/>
      <c r="I289" s="10"/>
      <c r="J289" s="10"/>
      <c r="K289" s="38"/>
      <c r="L289" s="10"/>
      <c r="M289" s="38"/>
      <c r="N289" s="38"/>
      <c r="O289" s="38"/>
      <c r="P289" s="38"/>
      <c r="Q289" s="38"/>
      <c r="R289" s="38"/>
      <c r="S289" s="38"/>
      <c r="T289" s="38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</row>
    <row r="290" ht="18.0" customHeight="1">
      <c r="A290" s="40"/>
      <c r="B290" s="17"/>
      <c r="C290" s="17"/>
      <c r="D290" s="41"/>
      <c r="E290" s="41"/>
      <c r="F290" s="17"/>
      <c r="G290" s="17"/>
      <c r="H290" s="17"/>
      <c r="I290" s="17"/>
      <c r="J290" s="17"/>
      <c r="K290" s="41"/>
      <c r="L290" s="17"/>
      <c r="M290" s="41"/>
      <c r="N290" s="41"/>
      <c r="O290" s="41"/>
      <c r="P290" s="41"/>
      <c r="Q290" s="41"/>
      <c r="R290" s="41"/>
      <c r="S290" s="41"/>
      <c r="T290" s="41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</row>
    <row r="291" ht="18.0" customHeight="1">
      <c r="A291" s="37"/>
      <c r="B291" s="10"/>
      <c r="C291" s="10"/>
      <c r="D291" s="38"/>
      <c r="E291" s="38"/>
      <c r="F291" s="10"/>
      <c r="G291" s="10"/>
      <c r="H291" s="10"/>
      <c r="I291" s="10"/>
      <c r="J291" s="10"/>
      <c r="K291" s="38"/>
      <c r="L291" s="10"/>
      <c r="M291" s="38"/>
      <c r="N291" s="38"/>
      <c r="O291" s="38"/>
      <c r="P291" s="38"/>
      <c r="Q291" s="38"/>
      <c r="R291" s="38"/>
      <c r="S291" s="38"/>
      <c r="T291" s="38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</row>
    <row r="292" ht="18.0" customHeight="1">
      <c r="A292" s="40"/>
      <c r="B292" s="17"/>
      <c r="C292" s="17"/>
      <c r="D292" s="41"/>
      <c r="E292" s="41"/>
      <c r="F292" s="17"/>
      <c r="G292" s="17"/>
      <c r="H292" s="17"/>
      <c r="I292" s="17"/>
      <c r="J292" s="17"/>
      <c r="K292" s="41"/>
      <c r="L292" s="17"/>
      <c r="M292" s="41"/>
      <c r="N292" s="41"/>
      <c r="O292" s="41"/>
      <c r="P292" s="41"/>
      <c r="Q292" s="41"/>
      <c r="R292" s="41"/>
      <c r="S292" s="41"/>
      <c r="T292" s="41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</row>
    <row r="293" ht="18.0" customHeight="1">
      <c r="A293" s="37"/>
      <c r="B293" s="10"/>
      <c r="C293" s="10"/>
      <c r="D293" s="38"/>
      <c r="E293" s="38"/>
      <c r="F293" s="10"/>
      <c r="G293" s="10"/>
      <c r="H293" s="10"/>
      <c r="I293" s="10"/>
      <c r="J293" s="10"/>
      <c r="K293" s="38"/>
      <c r="L293" s="10"/>
      <c r="M293" s="38"/>
      <c r="N293" s="38"/>
      <c r="O293" s="38"/>
      <c r="P293" s="38"/>
      <c r="Q293" s="38"/>
      <c r="R293" s="38"/>
      <c r="S293" s="38"/>
      <c r="T293" s="38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</row>
    <row r="294" ht="18.0" customHeight="1">
      <c r="A294" s="40"/>
      <c r="B294" s="17"/>
      <c r="C294" s="17"/>
      <c r="D294" s="41"/>
      <c r="E294" s="41"/>
      <c r="F294" s="17"/>
      <c r="G294" s="17"/>
      <c r="H294" s="17"/>
      <c r="I294" s="17"/>
      <c r="J294" s="17"/>
      <c r="K294" s="41"/>
      <c r="L294" s="17"/>
      <c r="M294" s="41"/>
      <c r="N294" s="41"/>
      <c r="O294" s="41"/>
      <c r="P294" s="41"/>
      <c r="Q294" s="41"/>
      <c r="R294" s="41"/>
      <c r="S294" s="41"/>
      <c r="T294" s="41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</row>
    <row r="295" ht="18.0" customHeight="1">
      <c r="A295" s="37"/>
      <c r="B295" s="10"/>
      <c r="C295" s="10"/>
      <c r="D295" s="38"/>
      <c r="E295" s="38"/>
      <c r="F295" s="10"/>
      <c r="G295" s="10"/>
      <c r="H295" s="10"/>
      <c r="I295" s="10"/>
      <c r="J295" s="10"/>
      <c r="K295" s="38"/>
      <c r="L295" s="10"/>
      <c r="M295" s="38"/>
      <c r="N295" s="38"/>
      <c r="O295" s="38"/>
      <c r="P295" s="38"/>
      <c r="Q295" s="38"/>
      <c r="R295" s="38"/>
      <c r="S295" s="38"/>
      <c r="T295" s="38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</row>
    <row r="296" ht="18.0" customHeight="1">
      <c r="A296" s="40"/>
      <c r="B296" s="17"/>
      <c r="C296" s="17"/>
      <c r="D296" s="41"/>
      <c r="E296" s="41"/>
      <c r="F296" s="17"/>
      <c r="G296" s="17"/>
      <c r="H296" s="17"/>
      <c r="I296" s="17"/>
      <c r="J296" s="17"/>
      <c r="K296" s="41"/>
      <c r="L296" s="17"/>
      <c r="M296" s="41"/>
      <c r="N296" s="41"/>
      <c r="O296" s="41"/>
      <c r="P296" s="41"/>
      <c r="Q296" s="41"/>
      <c r="R296" s="41"/>
      <c r="S296" s="41"/>
      <c r="T296" s="41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</row>
    <row r="297" ht="18.0" customHeight="1">
      <c r="A297" s="37"/>
      <c r="B297" s="10"/>
      <c r="C297" s="10"/>
      <c r="D297" s="38"/>
      <c r="E297" s="38"/>
      <c r="F297" s="10"/>
      <c r="G297" s="10"/>
      <c r="H297" s="10"/>
      <c r="I297" s="10"/>
      <c r="J297" s="10"/>
      <c r="K297" s="38"/>
      <c r="L297" s="10"/>
      <c r="M297" s="38"/>
      <c r="N297" s="38"/>
      <c r="O297" s="38"/>
      <c r="P297" s="38"/>
      <c r="Q297" s="38"/>
      <c r="R297" s="38"/>
      <c r="S297" s="38"/>
      <c r="T297" s="38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</row>
    <row r="298" ht="18.0" customHeight="1">
      <c r="A298" s="40"/>
      <c r="B298" s="17"/>
      <c r="C298" s="17"/>
      <c r="D298" s="41"/>
      <c r="E298" s="41"/>
      <c r="F298" s="17"/>
      <c r="G298" s="17"/>
      <c r="H298" s="17"/>
      <c r="I298" s="17"/>
      <c r="J298" s="17"/>
      <c r="K298" s="41"/>
      <c r="L298" s="17"/>
      <c r="M298" s="41"/>
      <c r="N298" s="41"/>
      <c r="O298" s="41"/>
      <c r="P298" s="41"/>
      <c r="Q298" s="41"/>
      <c r="R298" s="41"/>
      <c r="S298" s="41"/>
      <c r="T298" s="41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</row>
    <row r="299" ht="18.0" customHeight="1">
      <c r="A299" s="37"/>
      <c r="B299" s="10"/>
      <c r="C299" s="10"/>
      <c r="D299" s="38"/>
      <c r="E299" s="38"/>
      <c r="F299" s="10"/>
      <c r="G299" s="10"/>
      <c r="H299" s="10"/>
      <c r="I299" s="10"/>
      <c r="J299" s="10"/>
      <c r="K299" s="38"/>
      <c r="L299" s="10"/>
      <c r="M299" s="38"/>
      <c r="N299" s="38"/>
      <c r="O299" s="38"/>
      <c r="P299" s="38"/>
      <c r="Q299" s="38"/>
      <c r="R299" s="38"/>
      <c r="S299" s="38"/>
      <c r="T299" s="38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</row>
    <row r="300" ht="18.0" customHeight="1">
      <c r="A300" s="40"/>
      <c r="B300" s="17"/>
      <c r="C300" s="17"/>
      <c r="D300" s="41"/>
      <c r="E300" s="41"/>
      <c r="F300" s="17"/>
      <c r="G300" s="17"/>
      <c r="H300" s="17"/>
      <c r="I300" s="17"/>
      <c r="J300" s="17"/>
      <c r="K300" s="41"/>
      <c r="L300" s="17"/>
      <c r="M300" s="41"/>
      <c r="N300" s="41"/>
      <c r="O300" s="41"/>
      <c r="P300" s="41"/>
      <c r="Q300" s="41"/>
      <c r="R300" s="41"/>
      <c r="S300" s="41"/>
      <c r="T300" s="41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</row>
    <row r="301" ht="18.0" customHeight="1">
      <c r="A301" s="37"/>
      <c r="B301" s="10"/>
      <c r="C301" s="10"/>
      <c r="D301" s="38"/>
      <c r="E301" s="38"/>
      <c r="F301" s="10"/>
      <c r="G301" s="10"/>
      <c r="H301" s="10"/>
      <c r="I301" s="10"/>
      <c r="J301" s="10"/>
      <c r="K301" s="38"/>
      <c r="L301" s="10"/>
      <c r="M301" s="38"/>
      <c r="N301" s="38"/>
      <c r="O301" s="38"/>
      <c r="P301" s="38"/>
      <c r="Q301" s="38"/>
      <c r="R301" s="38"/>
      <c r="S301" s="38"/>
      <c r="T301" s="38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</row>
    <row r="302" ht="18.0" customHeight="1">
      <c r="A302" s="40"/>
      <c r="B302" s="17"/>
      <c r="C302" s="17"/>
      <c r="D302" s="41"/>
      <c r="E302" s="41"/>
      <c r="F302" s="17"/>
      <c r="G302" s="17"/>
      <c r="H302" s="17"/>
      <c r="I302" s="17"/>
      <c r="J302" s="17"/>
      <c r="K302" s="41"/>
      <c r="L302" s="17"/>
      <c r="M302" s="41"/>
      <c r="N302" s="41"/>
      <c r="O302" s="41"/>
      <c r="P302" s="41"/>
      <c r="Q302" s="41"/>
      <c r="R302" s="41"/>
      <c r="S302" s="41"/>
      <c r="T302" s="41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</row>
    <row r="303" ht="18.0" customHeight="1">
      <c r="A303" s="37"/>
      <c r="B303" s="10"/>
      <c r="C303" s="10"/>
      <c r="D303" s="38"/>
      <c r="E303" s="38"/>
      <c r="F303" s="10"/>
      <c r="G303" s="10"/>
      <c r="H303" s="10"/>
      <c r="I303" s="10"/>
      <c r="J303" s="10"/>
      <c r="K303" s="38"/>
      <c r="L303" s="10"/>
      <c r="M303" s="38"/>
      <c r="N303" s="38"/>
      <c r="O303" s="38"/>
      <c r="P303" s="38"/>
      <c r="Q303" s="38"/>
      <c r="R303" s="38"/>
      <c r="S303" s="38"/>
      <c r="T303" s="38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</row>
    <row r="304" ht="18.0" customHeight="1">
      <c r="A304" s="40"/>
      <c r="B304" s="17"/>
      <c r="C304" s="17"/>
      <c r="D304" s="41"/>
      <c r="E304" s="41"/>
      <c r="F304" s="17"/>
      <c r="G304" s="17"/>
      <c r="H304" s="17"/>
      <c r="I304" s="17"/>
      <c r="J304" s="17"/>
      <c r="K304" s="41"/>
      <c r="L304" s="17"/>
      <c r="M304" s="41"/>
      <c r="N304" s="41"/>
      <c r="O304" s="41"/>
      <c r="P304" s="41"/>
      <c r="Q304" s="41"/>
      <c r="R304" s="41"/>
      <c r="S304" s="41"/>
      <c r="T304" s="41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</row>
    <row r="305" ht="18.0" customHeight="1">
      <c r="A305" s="37"/>
      <c r="B305" s="10"/>
      <c r="C305" s="10"/>
      <c r="D305" s="38"/>
      <c r="E305" s="38"/>
      <c r="F305" s="10"/>
      <c r="G305" s="10"/>
      <c r="H305" s="10"/>
      <c r="I305" s="10"/>
      <c r="J305" s="10"/>
      <c r="K305" s="38"/>
      <c r="L305" s="10"/>
      <c r="M305" s="38"/>
      <c r="N305" s="38"/>
      <c r="O305" s="38"/>
      <c r="P305" s="38"/>
      <c r="Q305" s="38"/>
      <c r="R305" s="38"/>
      <c r="S305" s="38"/>
      <c r="T305" s="38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</row>
    <row r="306" ht="18.0" customHeight="1">
      <c r="A306" s="40"/>
      <c r="B306" s="17"/>
      <c r="C306" s="17"/>
      <c r="D306" s="41"/>
      <c r="E306" s="41"/>
      <c r="F306" s="17"/>
      <c r="G306" s="17"/>
      <c r="H306" s="17"/>
      <c r="I306" s="17"/>
      <c r="J306" s="17"/>
      <c r="K306" s="41"/>
      <c r="L306" s="17"/>
      <c r="M306" s="41"/>
      <c r="N306" s="41"/>
      <c r="O306" s="41"/>
      <c r="P306" s="41"/>
      <c r="Q306" s="41"/>
      <c r="R306" s="41"/>
      <c r="S306" s="41"/>
      <c r="T306" s="41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</row>
    <row r="307" ht="18.0" customHeight="1">
      <c r="A307" s="37"/>
      <c r="B307" s="10"/>
      <c r="C307" s="10"/>
      <c r="D307" s="38"/>
      <c r="E307" s="38"/>
      <c r="F307" s="10"/>
      <c r="G307" s="10"/>
      <c r="H307" s="10"/>
      <c r="I307" s="10"/>
      <c r="J307" s="10"/>
      <c r="K307" s="38"/>
      <c r="L307" s="10"/>
      <c r="M307" s="38"/>
      <c r="N307" s="38"/>
      <c r="O307" s="38"/>
      <c r="P307" s="38"/>
      <c r="Q307" s="38"/>
      <c r="R307" s="38"/>
      <c r="S307" s="38"/>
      <c r="T307" s="38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</row>
    <row r="308" ht="18.0" customHeight="1">
      <c r="A308" s="40"/>
      <c r="B308" s="17"/>
      <c r="C308" s="17"/>
      <c r="D308" s="41"/>
      <c r="E308" s="41"/>
      <c r="F308" s="17"/>
      <c r="G308" s="17"/>
      <c r="H308" s="17"/>
      <c r="I308" s="17"/>
      <c r="J308" s="17"/>
      <c r="K308" s="41"/>
      <c r="L308" s="17"/>
      <c r="M308" s="41"/>
      <c r="N308" s="41"/>
      <c r="O308" s="41"/>
      <c r="P308" s="41"/>
      <c r="Q308" s="41"/>
      <c r="R308" s="41"/>
      <c r="S308" s="41"/>
      <c r="T308" s="41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</row>
    <row r="309" ht="18.0" customHeight="1">
      <c r="A309" s="37"/>
      <c r="B309" s="10"/>
      <c r="C309" s="10"/>
      <c r="D309" s="38"/>
      <c r="E309" s="38"/>
      <c r="F309" s="10"/>
      <c r="G309" s="10"/>
      <c r="H309" s="10"/>
      <c r="I309" s="10"/>
      <c r="J309" s="10"/>
      <c r="K309" s="38"/>
      <c r="L309" s="10"/>
      <c r="M309" s="38"/>
      <c r="N309" s="38"/>
      <c r="O309" s="38"/>
      <c r="P309" s="38"/>
      <c r="Q309" s="38"/>
      <c r="R309" s="38"/>
      <c r="S309" s="38"/>
      <c r="T309" s="38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</row>
    <row r="310" ht="18.0" customHeight="1">
      <c r="A310" s="40"/>
      <c r="B310" s="17"/>
      <c r="C310" s="17"/>
      <c r="D310" s="41"/>
      <c r="E310" s="41"/>
      <c r="F310" s="17"/>
      <c r="G310" s="17"/>
      <c r="H310" s="17"/>
      <c r="I310" s="17"/>
      <c r="J310" s="17"/>
      <c r="K310" s="41"/>
      <c r="L310" s="17"/>
      <c r="M310" s="41"/>
      <c r="N310" s="41"/>
      <c r="O310" s="41"/>
      <c r="P310" s="41"/>
      <c r="Q310" s="41"/>
      <c r="R310" s="41"/>
      <c r="S310" s="41"/>
      <c r="T310" s="41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</row>
    <row r="311" ht="18.0" customHeight="1">
      <c r="A311" s="37"/>
      <c r="B311" s="10"/>
      <c r="C311" s="10"/>
      <c r="D311" s="38"/>
      <c r="E311" s="38"/>
      <c r="F311" s="10"/>
      <c r="G311" s="10"/>
      <c r="H311" s="10"/>
      <c r="I311" s="10"/>
      <c r="J311" s="10"/>
      <c r="K311" s="38"/>
      <c r="L311" s="10"/>
      <c r="M311" s="38"/>
      <c r="N311" s="38"/>
      <c r="O311" s="38"/>
      <c r="P311" s="38"/>
      <c r="Q311" s="38"/>
      <c r="R311" s="38"/>
      <c r="S311" s="38"/>
      <c r="T311" s="38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</row>
    <row r="312" ht="18.0" customHeight="1">
      <c r="A312" s="40"/>
      <c r="B312" s="17"/>
      <c r="C312" s="17"/>
      <c r="D312" s="41"/>
      <c r="E312" s="41"/>
      <c r="F312" s="17"/>
      <c r="G312" s="17"/>
      <c r="H312" s="17"/>
      <c r="I312" s="17"/>
      <c r="J312" s="17"/>
      <c r="K312" s="41"/>
      <c r="L312" s="17"/>
      <c r="M312" s="41"/>
      <c r="N312" s="41"/>
      <c r="O312" s="41"/>
      <c r="P312" s="41"/>
      <c r="Q312" s="41"/>
      <c r="R312" s="41"/>
      <c r="S312" s="41"/>
      <c r="T312" s="41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</row>
    <row r="313" ht="18.0" customHeight="1">
      <c r="A313" s="37"/>
      <c r="B313" s="10"/>
      <c r="C313" s="10"/>
      <c r="D313" s="38"/>
      <c r="E313" s="38"/>
      <c r="F313" s="10"/>
      <c r="G313" s="10"/>
      <c r="H313" s="10"/>
      <c r="I313" s="10"/>
      <c r="J313" s="10"/>
      <c r="K313" s="38"/>
      <c r="L313" s="10"/>
      <c r="M313" s="38"/>
      <c r="N313" s="38"/>
      <c r="O313" s="38"/>
      <c r="P313" s="38"/>
      <c r="Q313" s="38"/>
      <c r="R313" s="38"/>
      <c r="S313" s="38"/>
      <c r="T313" s="38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</row>
    <row r="314" ht="18.0" customHeight="1">
      <c r="A314" s="40"/>
      <c r="B314" s="17"/>
      <c r="C314" s="17"/>
      <c r="D314" s="41"/>
      <c r="E314" s="41"/>
      <c r="F314" s="17"/>
      <c r="G314" s="17"/>
      <c r="H314" s="17"/>
      <c r="I314" s="17"/>
      <c r="J314" s="17"/>
      <c r="K314" s="41"/>
      <c r="L314" s="17"/>
      <c r="M314" s="41"/>
      <c r="N314" s="41"/>
      <c r="O314" s="41"/>
      <c r="P314" s="41"/>
      <c r="Q314" s="41"/>
      <c r="R314" s="41"/>
      <c r="S314" s="41"/>
      <c r="T314" s="41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</row>
    <row r="315" ht="18.0" customHeight="1">
      <c r="A315" s="37"/>
      <c r="B315" s="10"/>
      <c r="C315" s="10"/>
      <c r="D315" s="38"/>
      <c r="E315" s="38"/>
      <c r="F315" s="10"/>
      <c r="G315" s="10"/>
      <c r="H315" s="10"/>
      <c r="I315" s="10"/>
      <c r="J315" s="10"/>
      <c r="K315" s="38"/>
      <c r="L315" s="10"/>
      <c r="M315" s="38"/>
      <c r="N315" s="38"/>
      <c r="O315" s="38"/>
      <c r="P315" s="38"/>
      <c r="Q315" s="38"/>
      <c r="R315" s="38"/>
      <c r="S315" s="38"/>
      <c r="T315" s="38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</row>
    <row r="316" ht="18.0" customHeight="1">
      <c r="A316" s="40"/>
      <c r="B316" s="17"/>
      <c r="C316" s="17"/>
      <c r="D316" s="41"/>
      <c r="E316" s="41"/>
      <c r="F316" s="17"/>
      <c r="G316" s="17"/>
      <c r="H316" s="17"/>
      <c r="I316" s="17"/>
      <c r="J316" s="17"/>
      <c r="K316" s="41"/>
      <c r="L316" s="17"/>
      <c r="M316" s="41"/>
      <c r="N316" s="41"/>
      <c r="O316" s="41"/>
      <c r="P316" s="41"/>
      <c r="Q316" s="41"/>
      <c r="R316" s="41"/>
      <c r="S316" s="41"/>
      <c r="T316" s="41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</row>
    <row r="317" ht="18.0" customHeight="1">
      <c r="A317" s="37"/>
      <c r="B317" s="10"/>
      <c r="C317" s="10"/>
      <c r="D317" s="38"/>
      <c r="E317" s="38"/>
      <c r="F317" s="10"/>
      <c r="G317" s="10"/>
      <c r="H317" s="10"/>
      <c r="I317" s="10"/>
      <c r="J317" s="10"/>
      <c r="K317" s="38"/>
      <c r="L317" s="10"/>
      <c r="M317" s="38"/>
      <c r="N317" s="38"/>
      <c r="O317" s="38"/>
      <c r="P317" s="38"/>
      <c r="Q317" s="38"/>
      <c r="R317" s="38"/>
      <c r="S317" s="38"/>
      <c r="T317" s="38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</row>
    <row r="318" ht="18.0" customHeight="1">
      <c r="A318" s="40"/>
      <c r="B318" s="17"/>
      <c r="C318" s="17"/>
      <c r="D318" s="41"/>
      <c r="E318" s="41"/>
      <c r="F318" s="17"/>
      <c r="G318" s="17"/>
      <c r="H318" s="17"/>
      <c r="I318" s="17"/>
      <c r="J318" s="17"/>
      <c r="K318" s="41"/>
      <c r="L318" s="17"/>
      <c r="M318" s="41"/>
      <c r="N318" s="41"/>
      <c r="O318" s="41"/>
      <c r="P318" s="41"/>
      <c r="Q318" s="41"/>
      <c r="R318" s="41"/>
      <c r="S318" s="41"/>
      <c r="T318" s="41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</row>
    <row r="319" ht="18.0" customHeight="1">
      <c r="A319" s="37"/>
      <c r="B319" s="10"/>
      <c r="C319" s="10"/>
      <c r="D319" s="38"/>
      <c r="E319" s="38"/>
      <c r="F319" s="10"/>
      <c r="G319" s="10"/>
      <c r="H319" s="10"/>
      <c r="I319" s="10"/>
      <c r="J319" s="10"/>
      <c r="K319" s="38"/>
      <c r="L319" s="10"/>
      <c r="M319" s="38"/>
      <c r="N319" s="38"/>
      <c r="O319" s="38"/>
      <c r="P319" s="38"/>
      <c r="Q319" s="38"/>
      <c r="R319" s="38"/>
      <c r="S319" s="38"/>
      <c r="T319" s="38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</row>
    <row r="320" ht="18.0" customHeight="1">
      <c r="A320" s="40"/>
      <c r="B320" s="17"/>
      <c r="C320" s="17"/>
      <c r="D320" s="41"/>
      <c r="E320" s="41"/>
      <c r="F320" s="17"/>
      <c r="G320" s="17"/>
      <c r="H320" s="17"/>
      <c r="I320" s="17"/>
      <c r="J320" s="17"/>
      <c r="K320" s="41"/>
      <c r="L320" s="17"/>
      <c r="M320" s="41"/>
      <c r="N320" s="41"/>
      <c r="O320" s="41"/>
      <c r="P320" s="41"/>
      <c r="Q320" s="41"/>
      <c r="R320" s="41"/>
      <c r="S320" s="41"/>
      <c r="T320" s="41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</row>
    <row r="321" ht="18.0" customHeight="1">
      <c r="A321" s="37"/>
      <c r="B321" s="10"/>
      <c r="C321" s="10"/>
      <c r="D321" s="38"/>
      <c r="E321" s="38"/>
      <c r="F321" s="10"/>
      <c r="G321" s="10"/>
      <c r="H321" s="10"/>
      <c r="I321" s="10"/>
      <c r="J321" s="10"/>
      <c r="K321" s="38"/>
      <c r="L321" s="10"/>
      <c r="M321" s="38"/>
      <c r="N321" s="38"/>
      <c r="O321" s="38"/>
      <c r="P321" s="38"/>
      <c r="Q321" s="38"/>
      <c r="R321" s="38"/>
      <c r="S321" s="38"/>
      <c r="T321" s="38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</row>
    <row r="322" ht="18.0" customHeight="1">
      <c r="A322" s="40"/>
      <c r="B322" s="17"/>
      <c r="C322" s="17"/>
      <c r="D322" s="41"/>
      <c r="E322" s="41"/>
      <c r="F322" s="17"/>
      <c r="G322" s="17"/>
      <c r="H322" s="17"/>
      <c r="I322" s="17"/>
      <c r="J322" s="17"/>
      <c r="K322" s="41"/>
      <c r="L322" s="17"/>
      <c r="M322" s="41"/>
      <c r="N322" s="41"/>
      <c r="O322" s="41"/>
      <c r="P322" s="41"/>
      <c r="Q322" s="41"/>
      <c r="R322" s="41"/>
      <c r="S322" s="41"/>
      <c r="T322" s="41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</row>
    <row r="323" ht="18.0" customHeight="1">
      <c r="A323" s="37"/>
      <c r="B323" s="10"/>
      <c r="C323" s="10"/>
      <c r="D323" s="38"/>
      <c r="E323" s="38"/>
      <c r="F323" s="10"/>
      <c r="G323" s="10"/>
      <c r="H323" s="10"/>
      <c r="I323" s="10"/>
      <c r="J323" s="10"/>
      <c r="K323" s="38"/>
      <c r="L323" s="10"/>
      <c r="M323" s="38"/>
      <c r="N323" s="38"/>
      <c r="O323" s="38"/>
      <c r="P323" s="38"/>
      <c r="Q323" s="38"/>
      <c r="R323" s="38"/>
      <c r="S323" s="38"/>
      <c r="T323" s="38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</row>
    <row r="324" ht="18.0" customHeight="1">
      <c r="A324" s="40"/>
      <c r="B324" s="17"/>
      <c r="C324" s="17"/>
      <c r="D324" s="41"/>
      <c r="E324" s="41"/>
      <c r="F324" s="17"/>
      <c r="G324" s="17"/>
      <c r="H324" s="17"/>
      <c r="I324" s="17"/>
      <c r="J324" s="17"/>
      <c r="K324" s="41"/>
      <c r="L324" s="17"/>
      <c r="M324" s="41"/>
      <c r="N324" s="41"/>
      <c r="O324" s="41"/>
      <c r="P324" s="41"/>
      <c r="Q324" s="41"/>
      <c r="R324" s="41"/>
      <c r="S324" s="41"/>
      <c r="T324" s="41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</row>
    <row r="325" ht="18.0" customHeight="1">
      <c r="A325" s="37"/>
      <c r="B325" s="10"/>
      <c r="C325" s="10"/>
      <c r="D325" s="38"/>
      <c r="E325" s="38"/>
      <c r="F325" s="10"/>
      <c r="G325" s="10"/>
      <c r="H325" s="10"/>
      <c r="I325" s="10"/>
      <c r="J325" s="10"/>
      <c r="K325" s="38"/>
      <c r="L325" s="10"/>
      <c r="M325" s="38"/>
      <c r="N325" s="38"/>
      <c r="O325" s="38"/>
      <c r="P325" s="38"/>
      <c r="Q325" s="38"/>
      <c r="R325" s="38"/>
      <c r="S325" s="38"/>
      <c r="T325" s="38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</row>
    <row r="326" ht="18.0" customHeight="1">
      <c r="A326" s="40"/>
      <c r="B326" s="17"/>
      <c r="C326" s="17"/>
      <c r="D326" s="41"/>
      <c r="E326" s="41"/>
      <c r="F326" s="17"/>
      <c r="G326" s="17"/>
      <c r="H326" s="17"/>
      <c r="I326" s="17"/>
      <c r="J326" s="17"/>
      <c r="K326" s="41"/>
      <c r="L326" s="17"/>
      <c r="M326" s="41"/>
      <c r="N326" s="41"/>
      <c r="O326" s="41"/>
      <c r="P326" s="41"/>
      <c r="Q326" s="41"/>
      <c r="R326" s="41"/>
      <c r="S326" s="41"/>
      <c r="T326" s="41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</row>
    <row r="327" ht="18.0" customHeight="1">
      <c r="A327" s="37"/>
      <c r="B327" s="10"/>
      <c r="C327" s="10"/>
      <c r="D327" s="38"/>
      <c r="E327" s="38"/>
      <c r="F327" s="10"/>
      <c r="G327" s="10"/>
      <c r="H327" s="10"/>
      <c r="I327" s="10"/>
      <c r="J327" s="10"/>
      <c r="K327" s="38"/>
      <c r="L327" s="10"/>
      <c r="M327" s="38"/>
      <c r="N327" s="38"/>
      <c r="O327" s="38"/>
      <c r="P327" s="38"/>
      <c r="Q327" s="38"/>
      <c r="R327" s="38"/>
      <c r="S327" s="38"/>
      <c r="T327" s="38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</row>
    <row r="328" ht="18.0" customHeight="1">
      <c r="A328" s="40"/>
      <c r="B328" s="17"/>
      <c r="C328" s="17"/>
      <c r="D328" s="41"/>
      <c r="E328" s="41"/>
      <c r="F328" s="17"/>
      <c r="G328" s="17"/>
      <c r="H328" s="17"/>
      <c r="I328" s="17"/>
      <c r="J328" s="17"/>
      <c r="K328" s="41"/>
      <c r="L328" s="17"/>
      <c r="M328" s="41"/>
      <c r="N328" s="41"/>
      <c r="O328" s="41"/>
      <c r="P328" s="41"/>
      <c r="Q328" s="41"/>
      <c r="R328" s="41"/>
      <c r="S328" s="41"/>
      <c r="T328" s="41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</row>
    <row r="329" ht="18.0" customHeight="1">
      <c r="A329" s="37"/>
      <c r="B329" s="10"/>
      <c r="C329" s="10"/>
      <c r="D329" s="38"/>
      <c r="E329" s="38"/>
      <c r="F329" s="10"/>
      <c r="G329" s="10"/>
      <c r="H329" s="10"/>
      <c r="I329" s="10"/>
      <c r="J329" s="10"/>
      <c r="K329" s="38"/>
      <c r="L329" s="10"/>
      <c r="M329" s="38"/>
      <c r="N329" s="38"/>
      <c r="O329" s="38"/>
      <c r="P329" s="38"/>
      <c r="Q329" s="38"/>
      <c r="R329" s="38"/>
      <c r="S329" s="38"/>
      <c r="T329" s="38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</row>
    <row r="330" ht="18.0" customHeight="1">
      <c r="A330" s="40"/>
      <c r="B330" s="17"/>
      <c r="C330" s="17"/>
      <c r="D330" s="41"/>
      <c r="E330" s="41"/>
      <c r="F330" s="17"/>
      <c r="G330" s="17"/>
      <c r="H330" s="17"/>
      <c r="I330" s="17"/>
      <c r="J330" s="17"/>
      <c r="K330" s="41"/>
      <c r="L330" s="17"/>
      <c r="M330" s="41"/>
      <c r="N330" s="41"/>
      <c r="O330" s="41"/>
      <c r="P330" s="41"/>
      <c r="Q330" s="41"/>
      <c r="R330" s="41"/>
      <c r="S330" s="41"/>
      <c r="T330" s="41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</row>
    <row r="331" ht="18.0" customHeight="1">
      <c r="A331" s="37"/>
      <c r="B331" s="10"/>
      <c r="C331" s="10"/>
      <c r="D331" s="38"/>
      <c r="E331" s="38"/>
      <c r="F331" s="10"/>
      <c r="G331" s="10"/>
      <c r="H331" s="10"/>
      <c r="I331" s="10"/>
      <c r="J331" s="10"/>
      <c r="K331" s="38"/>
      <c r="L331" s="10"/>
      <c r="M331" s="38"/>
      <c r="N331" s="38"/>
      <c r="O331" s="38"/>
      <c r="P331" s="38"/>
      <c r="Q331" s="38"/>
      <c r="R331" s="38"/>
      <c r="S331" s="38"/>
      <c r="T331" s="38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</row>
    <row r="332" ht="18.0" customHeight="1">
      <c r="A332" s="40"/>
      <c r="B332" s="17"/>
      <c r="C332" s="17"/>
      <c r="D332" s="41"/>
      <c r="E332" s="41"/>
      <c r="F332" s="17"/>
      <c r="G332" s="17"/>
      <c r="H332" s="17"/>
      <c r="I332" s="17"/>
      <c r="J332" s="17"/>
      <c r="K332" s="41"/>
      <c r="L332" s="17"/>
      <c r="M332" s="41"/>
      <c r="N332" s="41"/>
      <c r="O332" s="41"/>
      <c r="P332" s="41"/>
      <c r="Q332" s="41"/>
      <c r="R332" s="41"/>
      <c r="S332" s="41"/>
      <c r="T332" s="41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</row>
    <row r="333" ht="18.0" customHeight="1">
      <c r="A333" s="37"/>
      <c r="B333" s="10"/>
      <c r="C333" s="10"/>
      <c r="D333" s="38"/>
      <c r="E333" s="38"/>
      <c r="F333" s="10"/>
      <c r="G333" s="10"/>
      <c r="H333" s="10"/>
      <c r="I333" s="10"/>
      <c r="J333" s="10"/>
      <c r="K333" s="38"/>
      <c r="L333" s="10"/>
      <c r="M333" s="38"/>
      <c r="N333" s="38"/>
      <c r="O333" s="38"/>
      <c r="P333" s="38"/>
      <c r="Q333" s="38"/>
      <c r="R333" s="38"/>
      <c r="S333" s="38"/>
      <c r="T333" s="38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</row>
    <row r="334" ht="18.0" customHeight="1">
      <c r="A334" s="40"/>
      <c r="B334" s="17"/>
      <c r="C334" s="17"/>
      <c r="D334" s="41"/>
      <c r="E334" s="41"/>
      <c r="F334" s="17"/>
      <c r="G334" s="17"/>
      <c r="H334" s="17"/>
      <c r="I334" s="17"/>
      <c r="J334" s="17"/>
      <c r="K334" s="41"/>
      <c r="L334" s="17"/>
      <c r="M334" s="41"/>
      <c r="N334" s="41"/>
      <c r="O334" s="41"/>
      <c r="P334" s="41"/>
      <c r="Q334" s="41"/>
      <c r="R334" s="41"/>
      <c r="S334" s="41"/>
      <c r="T334" s="41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</row>
    <row r="335" ht="18.0" customHeight="1">
      <c r="A335" s="37"/>
      <c r="B335" s="10"/>
      <c r="C335" s="10"/>
      <c r="D335" s="38"/>
      <c r="E335" s="38"/>
      <c r="F335" s="10"/>
      <c r="G335" s="10"/>
      <c r="H335" s="10"/>
      <c r="I335" s="10"/>
      <c r="J335" s="10"/>
      <c r="K335" s="38"/>
      <c r="L335" s="10"/>
      <c r="M335" s="38"/>
      <c r="N335" s="38"/>
      <c r="O335" s="38"/>
      <c r="P335" s="38"/>
      <c r="Q335" s="38"/>
      <c r="R335" s="38"/>
      <c r="S335" s="38"/>
      <c r="T335" s="38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</row>
    <row r="336" ht="18.0" customHeight="1">
      <c r="A336" s="40"/>
      <c r="B336" s="17"/>
      <c r="C336" s="17"/>
      <c r="D336" s="41"/>
      <c r="E336" s="41"/>
      <c r="F336" s="17"/>
      <c r="G336" s="17"/>
      <c r="H336" s="17"/>
      <c r="I336" s="17"/>
      <c r="J336" s="17"/>
      <c r="K336" s="41"/>
      <c r="L336" s="17"/>
      <c r="M336" s="41"/>
      <c r="N336" s="41"/>
      <c r="O336" s="41"/>
      <c r="P336" s="41"/>
      <c r="Q336" s="41"/>
      <c r="R336" s="41"/>
      <c r="S336" s="41"/>
      <c r="T336" s="41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</row>
    <row r="337" ht="18.0" customHeight="1">
      <c r="A337" s="37"/>
      <c r="B337" s="10"/>
      <c r="C337" s="10"/>
      <c r="D337" s="38"/>
      <c r="E337" s="38"/>
      <c r="F337" s="10"/>
      <c r="G337" s="10"/>
      <c r="H337" s="10"/>
      <c r="I337" s="10"/>
      <c r="J337" s="10"/>
      <c r="K337" s="38"/>
      <c r="L337" s="10"/>
      <c r="M337" s="38"/>
      <c r="N337" s="38"/>
      <c r="O337" s="38"/>
      <c r="P337" s="38"/>
      <c r="Q337" s="38"/>
      <c r="R337" s="38"/>
      <c r="S337" s="38"/>
      <c r="T337" s="38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</row>
    <row r="338" ht="18.0" customHeight="1">
      <c r="A338" s="40"/>
      <c r="B338" s="17"/>
      <c r="C338" s="17"/>
      <c r="D338" s="41"/>
      <c r="E338" s="41"/>
      <c r="F338" s="17"/>
      <c r="G338" s="17"/>
      <c r="H338" s="17"/>
      <c r="I338" s="17"/>
      <c r="J338" s="17"/>
      <c r="K338" s="41"/>
      <c r="L338" s="17"/>
      <c r="M338" s="41"/>
      <c r="N338" s="41"/>
      <c r="O338" s="41"/>
      <c r="P338" s="41"/>
      <c r="Q338" s="41"/>
      <c r="R338" s="41"/>
      <c r="S338" s="41"/>
      <c r="T338" s="41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</row>
    <row r="339" ht="18.0" customHeight="1">
      <c r="A339" s="37"/>
      <c r="B339" s="10"/>
      <c r="C339" s="10"/>
      <c r="D339" s="38"/>
      <c r="E339" s="38"/>
      <c r="F339" s="10"/>
      <c r="G339" s="10"/>
      <c r="H339" s="10"/>
      <c r="I339" s="10"/>
      <c r="J339" s="10"/>
      <c r="K339" s="38"/>
      <c r="L339" s="10"/>
      <c r="M339" s="38"/>
      <c r="N339" s="38"/>
      <c r="O339" s="38"/>
      <c r="P339" s="38"/>
      <c r="Q339" s="38"/>
      <c r="R339" s="38"/>
      <c r="S339" s="38"/>
      <c r="T339" s="38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</row>
    <row r="340" ht="18.0" customHeight="1">
      <c r="A340" s="40"/>
      <c r="B340" s="17"/>
      <c r="C340" s="17"/>
      <c r="D340" s="41"/>
      <c r="E340" s="41"/>
      <c r="F340" s="17"/>
      <c r="G340" s="17"/>
      <c r="H340" s="17"/>
      <c r="I340" s="17"/>
      <c r="J340" s="17"/>
      <c r="K340" s="41"/>
      <c r="L340" s="17"/>
      <c r="M340" s="41"/>
      <c r="N340" s="41"/>
      <c r="O340" s="41"/>
      <c r="P340" s="41"/>
      <c r="Q340" s="41"/>
      <c r="R340" s="41"/>
      <c r="S340" s="41"/>
      <c r="T340" s="41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</row>
    <row r="341" ht="18.0" customHeight="1">
      <c r="A341" s="37"/>
      <c r="B341" s="10"/>
      <c r="C341" s="10"/>
      <c r="D341" s="38"/>
      <c r="E341" s="38"/>
      <c r="F341" s="10"/>
      <c r="G341" s="10"/>
      <c r="H341" s="10"/>
      <c r="I341" s="10"/>
      <c r="J341" s="10"/>
      <c r="K341" s="38"/>
      <c r="L341" s="10"/>
      <c r="M341" s="38"/>
      <c r="N341" s="38"/>
      <c r="O341" s="38"/>
      <c r="P341" s="38"/>
      <c r="Q341" s="38"/>
      <c r="R341" s="38"/>
      <c r="S341" s="38"/>
      <c r="T341" s="38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</row>
    <row r="342" ht="18.0" customHeight="1">
      <c r="A342" s="40"/>
      <c r="B342" s="17"/>
      <c r="C342" s="17"/>
      <c r="D342" s="41"/>
      <c r="E342" s="41"/>
      <c r="F342" s="17"/>
      <c r="G342" s="17"/>
      <c r="H342" s="17"/>
      <c r="I342" s="17"/>
      <c r="J342" s="17"/>
      <c r="K342" s="41"/>
      <c r="L342" s="17"/>
      <c r="M342" s="41"/>
      <c r="N342" s="41"/>
      <c r="O342" s="41"/>
      <c r="P342" s="41"/>
      <c r="Q342" s="41"/>
      <c r="R342" s="41"/>
      <c r="S342" s="41"/>
      <c r="T342" s="41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</row>
    <row r="343" ht="18.0" customHeight="1">
      <c r="A343" s="37"/>
      <c r="B343" s="10"/>
      <c r="C343" s="10"/>
      <c r="D343" s="38"/>
      <c r="E343" s="38"/>
      <c r="F343" s="10"/>
      <c r="G343" s="10"/>
      <c r="H343" s="10"/>
      <c r="I343" s="10"/>
      <c r="J343" s="10"/>
      <c r="K343" s="38"/>
      <c r="L343" s="10"/>
      <c r="M343" s="38"/>
      <c r="N343" s="38"/>
      <c r="O343" s="38"/>
      <c r="P343" s="38"/>
      <c r="Q343" s="38"/>
      <c r="R343" s="38"/>
      <c r="S343" s="38"/>
      <c r="T343" s="38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</row>
    <row r="344" ht="18.0" customHeight="1">
      <c r="A344" s="40"/>
      <c r="B344" s="17"/>
      <c r="C344" s="17"/>
      <c r="D344" s="41"/>
      <c r="E344" s="41"/>
      <c r="F344" s="17"/>
      <c r="G344" s="17"/>
      <c r="H344" s="17"/>
      <c r="I344" s="17"/>
      <c r="J344" s="17"/>
      <c r="K344" s="41"/>
      <c r="L344" s="17"/>
      <c r="M344" s="41"/>
      <c r="N344" s="41"/>
      <c r="O344" s="41"/>
      <c r="P344" s="41"/>
      <c r="Q344" s="41"/>
      <c r="R344" s="41"/>
      <c r="S344" s="41"/>
      <c r="T344" s="41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</row>
    <row r="345" ht="18.0" customHeight="1">
      <c r="A345" s="37"/>
      <c r="B345" s="10"/>
      <c r="C345" s="10"/>
      <c r="D345" s="38"/>
      <c r="E345" s="38"/>
      <c r="F345" s="10"/>
      <c r="G345" s="10"/>
      <c r="H345" s="10"/>
      <c r="I345" s="10"/>
      <c r="J345" s="10"/>
      <c r="K345" s="38"/>
      <c r="L345" s="10"/>
      <c r="M345" s="38"/>
      <c r="N345" s="38"/>
      <c r="O345" s="38"/>
      <c r="P345" s="38"/>
      <c r="Q345" s="38"/>
      <c r="R345" s="38"/>
      <c r="S345" s="38"/>
      <c r="T345" s="38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</row>
    <row r="346" ht="18.0" customHeight="1">
      <c r="A346" s="40"/>
      <c r="B346" s="17"/>
      <c r="C346" s="17"/>
      <c r="D346" s="41"/>
      <c r="E346" s="41"/>
      <c r="F346" s="17"/>
      <c r="G346" s="17"/>
      <c r="H346" s="17"/>
      <c r="I346" s="17"/>
      <c r="J346" s="17"/>
      <c r="K346" s="41"/>
      <c r="L346" s="17"/>
      <c r="M346" s="41"/>
      <c r="N346" s="41"/>
      <c r="O346" s="41"/>
      <c r="P346" s="41"/>
      <c r="Q346" s="41"/>
      <c r="R346" s="41"/>
      <c r="S346" s="41"/>
      <c r="T346" s="41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</row>
    <row r="347" ht="18.0" customHeight="1">
      <c r="A347" s="37"/>
      <c r="B347" s="10"/>
      <c r="C347" s="10"/>
      <c r="D347" s="38"/>
      <c r="E347" s="38"/>
      <c r="F347" s="10"/>
      <c r="G347" s="10"/>
      <c r="H347" s="10"/>
      <c r="I347" s="10"/>
      <c r="J347" s="10"/>
      <c r="K347" s="38"/>
      <c r="L347" s="10"/>
      <c r="M347" s="38"/>
      <c r="N347" s="38"/>
      <c r="O347" s="38"/>
      <c r="P347" s="38"/>
      <c r="Q347" s="38"/>
      <c r="R347" s="38"/>
      <c r="S347" s="38"/>
      <c r="T347" s="38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</row>
    <row r="348" ht="18.0" customHeight="1">
      <c r="A348" s="40"/>
      <c r="B348" s="17"/>
      <c r="C348" s="17"/>
      <c r="D348" s="41"/>
      <c r="E348" s="41"/>
      <c r="F348" s="17"/>
      <c r="G348" s="17"/>
      <c r="H348" s="17"/>
      <c r="I348" s="17"/>
      <c r="J348" s="17"/>
      <c r="K348" s="41"/>
      <c r="L348" s="17"/>
      <c r="M348" s="41"/>
      <c r="N348" s="41"/>
      <c r="O348" s="41"/>
      <c r="P348" s="41"/>
      <c r="Q348" s="41"/>
      <c r="R348" s="41"/>
      <c r="S348" s="41"/>
      <c r="T348" s="41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</row>
    <row r="349" ht="18.0" customHeight="1">
      <c r="A349" s="37"/>
      <c r="B349" s="10"/>
      <c r="C349" s="10"/>
      <c r="D349" s="38"/>
      <c r="E349" s="38"/>
      <c r="F349" s="10"/>
      <c r="G349" s="10"/>
      <c r="H349" s="10"/>
      <c r="I349" s="10"/>
      <c r="J349" s="10"/>
      <c r="K349" s="38"/>
      <c r="L349" s="10"/>
      <c r="M349" s="38"/>
      <c r="N349" s="38"/>
      <c r="O349" s="38"/>
      <c r="P349" s="38"/>
      <c r="Q349" s="38"/>
      <c r="R349" s="38"/>
      <c r="S349" s="38"/>
      <c r="T349" s="38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</row>
    <row r="350" ht="18.0" customHeight="1">
      <c r="A350" s="40"/>
      <c r="B350" s="17"/>
      <c r="C350" s="17"/>
      <c r="D350" s="41"/>
      <c r="E350" s="41"/>
      <c r="F350" s="17"/>
      <c r="G350" s="17"/>
      <c r="H350" s="17"/>
      <c r="I350" s="17"/>
      <c r="J350" s="17"/>
      <c r="K350" s="41"/>
      <c r="L350" s="17"/>
      <c r="M350" s="41"/>
      <c r="N350" s="41"/>
      <c r="O350" s="41"/>
      <c r="P350" s="41"/>
      <c r="Q350" s="41"/>
      <c r="R350" s="41"/>
      <c r="S350" s="41"/>
      <c r="T350" s="41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</row>
    <row r="351" ht="18.0" customHeight="1">
      <c r="A351" s="37"/>
      <c r="B351" s="10"/>
      <c r="C351" s="10"/>
      <c r="D351" s="38"/>
      <c r="E351" s="38"/>
      <c r="F351" s="10"/>
      <c r="G351" s="10"/>
      <c r="H351" s="10"/>
      <c r="I351" s="10"/>
      <c r="J351" s="10"/>
      <c r="K351" s="38"/>
      <c r="L351" s="10"/>
      <c r="M351" s="38"/>
      <c r="N351" s="38"/>
      <c r="O351" s="38"/>
      <c r="P351" s="38"/>
      <c r="Q351" s="38"/>
      <c r="R351" s="38"/>
      <c r="S351" s="38"/>
      <c r="T351" s="38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</row>
    <row r="352" ht="18.0" customHeight="1">
      <c r="A352" s="40"/>
      <c r="B352" s="17"/>
      <c r="C352" s="17"/>
      <c r="D352" s="41"/>
      <c r="E352" s="41"/>
      <c r="F352" s="17"/>
      <c r="G352" s="17"/>
      <c r="H352" s="17"/>
      <c r="I352" s="17"/>
      <c r="J352" s="17"/>
      <c r="K352" s="41"/>
      <c r="L352" s="17"/>
      <c r="M352" s="41"/>
      <c r="N352" s="41"/>
      <c r="O352" s="41"/>
      <c r="P352" s="41"/>
      <c r="Q352" s="41"/>
      <c r="R352" s="41"/>
      <c r="S352" s="41"/>
      <c r="T352" s="41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</row>
    <row r="353" ht="18.0" customHeight="1">
      <c r="A353" s="37"/>
      <c r="B353" s="10"/>
      <c r="C353" s="10"/>
      <c r="D353" s="38"/>
      <c r="E353" s="38"/>
      <c r="F353" s="10"/>
      <c r="G353" s="10"/>
      <c r="H353" s="10"/>
      <c r="I353" s="10"/>
      <c r="J353" s="10"/>
      <c r="K353" s="38"/>
      <c r="L353" s="10"/>
      <c r="M353" s="38"/>
      <c r="N353" s="38"/>
      <c r="O353" s="38"/>
      <c r="P353" s="38"/>
      <c r="Q353" s="38"/>
      <c r="R353" s="38"/>
      <c r="S353" s="38"/>
      <c r="T353" s="38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</row>
    <row r="354" ht="18.0" customHeight="1">
      <c r="A354" s="40"/>
      <c r="B354" s="17"/>
      <c r="C354" s="17"/>
      <c r="D354" s="41"/>
      <c r="E354" s="41"/>
      <c r="F354" s="17"/>
      <c r="G354" s="17"/>
      <c r="H354" s="17"/>
      <c r="I354" s="17"/>
      <c r="J354" s="17"/>
      <c r="K354" s="41"/>
      <c r="L354" s="17"/>
      <c r="M354" s="41"/>
      <c r="N354" s="41"/>
      <c r="O354" s="41"/>
      <c r="P354" s="41"/>
      <c r="Q354" s="41"/>
      <c r="R354" s="41"/>
      <c r="S354" s="41"/>
      <c r="T354" s="41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</row>
    <row r="355" ht="18.0" customHeight="1">
      <c r="A355" s="37"/>
      <c r="B355" s="10"/>
      <c r="C355" s="10"/>
      <c r="D355" s="38"/>
      <c r="E355" s="38"/>
      <c r="F355" s="10"/>
      <c r="G355" s="10"/>
      <c r="H355" s="10"/>
      <c r="I355" s="10"/>
      <c r="J355" s="10"/>
      <c r="K355" s="38"/>
      <c r="L355" s="10"/>
      <c r="M355" s="38"/>
      <c r="N355" s="38"/>
      <c r="O355" s="38"/>
      <c r="P355" s="38"/>
      <c r="Q355" s="38"/>
      <c r="R355" s="38"/>
      <c r="S355" s="38"/>
      <c r="T355" s="38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</row>
    <row r="356" ht="18.0" customHeight="1">
      <c r="A356" s="40"/>
      <c r="B356" s="17"/>
      <c r="C356" s="17"/>
      <c r="D356" s="41"/>
      <c r="E356" s="41"/>
      <c r="F356" s="17"/>
      <c r="G356" s="17"/>
      <c r="H356" s="17"/>
      <c r="I356" s="17"/>
      <c r="J356" s="17"/>
      <c r="K356" s="41"/>
      <c r="L356" s="17"/>
      <c r="M356" s="41"/>
      <c r="N356" s="41"/>
      <c r="O356" s="41"/>
      <c r="P356" s="41"/>
      <c r="Q356" s="41"/>
      <c r="R356" s="41"/>
      <c r="S356" s="41"/>
      <c r="T356" s="41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</row>
    <row r="357" ht="18.0" customHeight="1">
      <c r="A357" s="37"/>
      <c r="B357" s="10"/>
      <c r="C357" s="10"/>
      <c r="D357" s="38"/>
      <c r="E357" s="38"/>
      <c r="F357" s="10"/>
      <c r="G357" s="10"/>
      <c r="H357" s="10"/>
      <c r="I357" s="10"/>
      <c r="J357" s="10"/>
      <c r="K357" s="38"/>
      <c r="L357" s="10"/>
      <c r="M357" s="38"/>
      <c r="N357" s="38"/>
      <c r="O357" s="38"/>
      <c r="P357" s="38"/>
      <c r="Q357" s="38"/>
      <c r="R357" s="38"/>
      <c r="S357" s="38"/>
      <c r="T357" s="38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ht="18.0" customHeight="1">
      <c r="A358" s="40"/>
      <c r="B358" s="17"/>
      <c r="C358" s="17"/>
      <c r="D358" s="41"/>
      <c r="E358" s="41"/>
      <c r="F358" s="17"/>
      <c r="G358" s="17"/>
      <c r="H358" s="17"/>
      <c r="I358" s="17"/>
      <c r="J358" s="17"/>
      <c r="K358" s="41"/>
      <c r="L358" s="17"/>
      <c r="M358" s="41"/>
      <c r="N358" s="41"/>
      <c r="O358" s="41"/>
      <c r="P358" s="41"/>
      <c r="Q358" s="41"/>
      <c r="R358" s="41"/>
      <c r="S358" s="41"/>
      <c r="T358" s="41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</row>
    <row r="359" ht="18.0" customHeight="1">
      <c r="A359" s="37"/>
      <c r="B359" s="10"/>
      <c r="C359" s="10"/>
      <c r="D359" s="38"/>
      <c r="E359" s="38"/>
      <c r="F359" s="10"/>
      <c r="G359" s="10"/>
      <c r="H359" s="10"/>
      <c r="I359" s="10"/>
      <c r="J359" s="10"/>
      <c r="K359" s="38"/>
      <c r="L359" s="10"/>
      <c r="M359" s="38"/>
      <c r="N359" s="38"/>
      <c r="O359" s="38"/>
      <c r="P359" s="38"/>
      <c r="Q359" s="38"/>
      <c r="R359" s="38"/>
      <c r="S359" s="38"/>
      <c r="T359" s="38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ht="18.0" customHeight="1">
      <c r="A360" s="40"/>
      <c r="B360" s="17"/>
      <c r="C360" s="17"/>
      <c r="D360" s="41"/>
      <c r="E360" s="41"/>
      <c r="F360" s="17"/>
      <c r="G360" s="17"/>
      <c r="H360" s="17"/>
      <c r="I360" s="17"/>
      <c r="J360" s="17"/>
      <c r="K360" s="41"/>
      <c r="L360" s="17"/>
      <c r="M360" s="41"/>
      <c r="N360" s="41"/>
      <c r="O360" s="41"/>
      <c r="P360" s="41"/>
      <c r="Q360" s="41"/>
      <c r="R360" s="41"/>
      <c r="S360" s="41"/>
      <c r="T360" s="41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</row>
    <row r="361" ht="18.0" customHeight="1">
      <c r="A361" s="37"/>
      <c r="B361" s="10"/>
      <c r="C361" s="10"/>
      <c r="D361" s="38"/>
      <c r="E361" s="38"/>
      <c r="F361" s="10"/>
      <c r="G361" s="10"/>
      <c r="H361" s="10"/>
      <c r="I361" s="10"/>
      <c r="J361" s="10"/>
      <c r="K361" s="38"/>
      <c r="L361" s="10"/>
      <c r="M361" s="38"/>
      <c r="N361" s="38"/>
      <c r="O361" s="38"/>
      <c r="P361" s="38"/>
      <c r="Q361" s="38"/>
      <c r="R361" s="38"/>
      <c r="S361" s="38"/>
      <c r="T361" s="38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ht="18.0" customHeight="1">
      <c r="A362" s="40"/>
      <c r="B362" s="17"/>
      <c r="C362" s="17"/>
      <c r="D362" s="41"/>
      <c r="E362" s="41"/>
      <c r="F362" s="17"/>
      <c r="G362" s="17"/>
      <c r="H362" s="17"/>
      <c r="I362" s="17"/>
      <c r="J362" s="17"/>
      <c r="K362" s="41"/>
      <c r="L362" s="17"/>
      <c r="M362" s="41"/>
      <c r="N362" s="41"/>
      <c r="O362" s="41"/>
      <c r="P362" s="41"/>
      <c r="Q362" s="41"/>
      <c r="R362" s="41"/>
      <c r="S362" s="41"/>
      <c r="T362" s="41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</row>
    <row r="363" ht="18.0" customHeight="1">
      <c r="A363" s="37"/>
      <c r="B363" s="10"/>
      <c r="C363" s="10"/>
      <c r="D363" s="38"/>
      <c r="E363" s="38"/>
      <c r="F363" s="10"/>
      <c r="G363" s="10"/>
      <c r="H363" s="10"/>
      <c r="I363" s="10"/>
      <c r="J363" s="10"/>
      <c r="K363" s="38"/>
      <c r="L363" s="10"/>
      <c r="M363" s="38"/>
      <c r="N363" s="38"/>
      <c r="O363" s="38"/>
      <c r="P363" s="38"/>
      <c r="Q363" s="38"/>
      <c r="R363" s="38"/>
      <c r="S363" s="38"/>
      <c r="T363" s="38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ht="18.0" customHeight="1">
      <c r="A364" s="40"/>
      <c r="B364" s="17"/>
      <c r="C364" s="17"/>
      <c r="D364" s="41"/>
      <c r="E364" s="41"/>
      <c r="F364" s="17"/>
      <c r="G364" s="17"/>
      <c r="H364" s="17"/>
      <c r="I364" s="17"/>
      <c r="J364" s="17"/>
      <c r="K364" s="41"/>
      <c r="L364" s="17"/>
      <c r="M364" s="41"/>
      <c r="N364" s="41"/>
      <c r="O364" s="41"/>
      <c r="P364" s="41"/>
      <c r="Q364" s="41"/>
      <c r="R364" s="41"/>
      <c r="S364" s="41"/>
      <c r="T364" s="41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</row>
    <row r="365" ht="18.0" customHeight="1">
      <c r="A365" s="37"/>
      <c r="B365" s="10"/>
      <c r="C365" s="10"/>
      <c r="D365" s="38"/>
      <c r="E365" s="38"/>
      <c r="F365" s="10"/>
      <c r="G365" s="10"/>
      <c r="H365" s="10"/>
      <c r="I365" s="10"/>
      <c r="J365" s="10"/>
      <c r="K365" s="38"/>
      <c r="L365" s="10"/>
      <c r="M365" s="38"/>
      <c r="N365" s="38"/>
      <c r="O365" s="38"/>
      <c r="P365" s="38"/>
      <c r="Q365" s="38"/>
      <c r="R365" s="38"/>
      <c r="S365" s="38"/>
      <c r="T365" s="38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ht="18.0" customHeight="1">
      <c r="A366" s="40"/>
      <c r="B366" s="17"/>
      <c r="C366" s="17"/>
      <c r="D366" s="41"/>
      <c r="E366" s="41"/>
      <c r="F366" s="17"/>
      <c r="G366" s="17"/>
      <c r="H366" s="17"/>
      <c r="I366" s="17"/>
      <c r="J366" s="17"/>
      <c r="K366" s="41"/>
      <c r="L366" s="17"/>
      <c r="M366" s="41"/>
      <c r="N366" s="41"/>
      <c r="O366" s="41"/>
      <c r="P366" s="41"/>
      <c r="Q366" s="41"/>
      <c r="R366" s="41"/>
      <c r="S366" s="41"/>
      <c r="T366" s="41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</row>
    <row r="367" ht="18.0" customHeight="1">
      <c r="A367" s="37"/>
      <c r="B367" s="10"/>
      <c r="C367" s="10"/>
      <c r="D367" s="38"/>
      <c r="E367" s="38"/>
      <c r="F367" s="10"/>
      <c r="G367" s="10"/>
      <c r="H367" s="10"/>
      <c r="I367" s="10"/>
      <c r="J367" s="10"/>
      <c r="K367" s="38"/>
      <c r="L367" s="10"/>
      <c r="M367" s="38"/>
      <c r="N367" s="38"/>
      <c r="O367" s="38"/>
      <c r="P367" s="38"/>
      <c r="Q367" s="38"/>
      <c r="R367" s="38"/>
      <c r="S367" s="38"/>
      <c r="T367" s="38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ht="15.75" customHeight="1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</row>
    <row r="369" ht="15.75" customHeight="1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</row>
    <row r="370" ht="15.75" customHeight="1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</row>
    <row r="371" ht="15.75" customHeight="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</row>
    <row r="372" ht="15.75" customHeight="1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</row>
    <row r="373" ht="15.75" customHeight="1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</row>
    <row r="374" ht="15.75" customHeight="1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</row>
    <row r="375" ht="15.75" customHeight="1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</row>
    <row r="376" ht="15.75" customHeight="1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</row>
    <row r="377" ht="15.75" customHeight="1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</row>
    <row r="378" ht="15.75" customHeight="1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</row>
    <row r="379" ht="15.75" customHeight="1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</row>
    <row r="380" ht="15.75" customHeight="1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</row>
    <row r="381" ht="15.75" customHeight="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</row>
    <row r="382" ht="15.75" customHeight="1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</row>
    <row r="383" ht="15.75" customHeight="1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</row>
    <row r="384" ht="15.75" customHeight="1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</row>
    <row r="385" ht="15.75" customHeight="1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</row>
    <row r="386" ht="15.75" customHeight="1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</row>
    <row r="387" ht="15.75" customHeight="1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</row>
    <row r="388" ht="15.75" customHeight="1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</row>
    <row r="389" ht="15.75" customHeight="1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</row>
    <row r="390" ht="15.75" customHeight="1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</row>
    <row r="391" ht="15.75" customHeight="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</row>
    <row r="392" ht="15.75" customHeight="1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</row>
    <row r="393" ht="15.75" customHeight="1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</row>
    <row r="394" ht="15.75" customHeight="1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</row>
    <row r="395" ht="15.75" customHeight="1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</row>
    <row r="396" ht="15.75" customHeight="1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</row>
    <row r="397" ht="15.75" customHeight="1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</row>
    <row r="398" ht="15.75" customHeight="1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</row>
    <row r="399" ht="15.75" customHeight="1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</row>
    <row r="400" ht="15.75" customHeight="1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</row>
    <row r="401" ht="15.75" customHeight="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</row>
    <row r="402" ht="15.75" customHeight="1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</row>
    <row r="403" ht="15.75" customHeight="1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</row>
    <row r="404" ht="15.75" customHeight="1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</row>
    <row r="405" ht="15.75" customHeight="1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</row>
    <row r="406" ht="15.75" customHeight="1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</row>
    <row r="407" ht="15.75" customHeight="1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</row>
    <row r="408" ht="15.75" customHeight="1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</row>
    <row r="409" ht="15.75" customHeight="1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</row>
    <row r="410" ht="15.75" customHeight="1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</row>
    <row r="411" ht="15.75" customHeight="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</row>
    <row r="412" ht="15.75" customHeight="1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</row>
    <row r="413" ht="15.75" customHeight="1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</row>
    <row r="414" ht="15.75" customHeight="1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</row>
    <row r="415" ht="15.75" customHeight="1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</row>
    <row r="416" ht="15.75" customHeight="1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</row>
    <row r="417" ht="15.75" customHeight="1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</row>
    <row r="418" ht="15.75" customHeight="1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</row>
    <row r="419" ht="15.75" customHeight="1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</row>
    <row r="420" ht="15.75" customHeight="1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</row>
    <row r="421" ht="15.75" customHeight="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</row>
    <row r="422" ht="15.75" customHeight="1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</row>
    <row r="423" ht="15.75" customHeight="1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</row>
    <row r="424" ht="15.75" customHeight="1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</row>
    <row r="425" ht="15.75" customHeight="1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</row>
    <row r="426" ht="15.75" customHeight="1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</row>
    <row r="427" ht="15.75" customHeight="1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</row>
    <row r="428" ht="15.75" customHeight="1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</row>
    <row r="429" ht="15.75" customHeight="1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</row>
    <row r="430" ht="15.75" customHeight="1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</row>
    <row r="431" ht="15.75" customHeight="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</row>
    <row r="432" ht="15.75" customHeight="1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</row>
    <row r="433" ht="15.75" customHeight="1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</row>
    <row r="434" ht="15.75" customHeight="1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</row>
    <row r="435" ht="15.75" customHeight="1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</row>
    <row r="436" ht="15.75" customHeight="1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</row>
    <row r="437" ht="15.75" customHeight="1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</row>
    <row r="438" ht="15.75" customHeight="1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</row>
    <row r="439" ht="15.75" customHeight="1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</row>
    <row r="440" ht="15.75" customHeight="1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</row>
    <row r="441" ht="15.75" customHeight="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</row>
    <row r="442" ht="15.75" customHeight="1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</row>
    <row r="443" ht="15.75" customHeight="1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</row>
    <row r="444" ht="15.75" customHeight="1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</row>
    <row r="445" ht="15.75" customHeight="1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</row>
    <row r="446" ht="15.75" customHeight="1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</row>
    <row r="447" ht="15.75" customHeight="1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</row>
    <row r="448" ht="15.75" customHeight="1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</row>
    <row r="449" ht="15.75" customHeight="1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</row>
    <row r="450" ht="15.75" customHeight="1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</row>
    <row r="451" ht="15.75" customHeight="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</row>
    <row r="452" ht="15.75" customHeight="1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</row>
    <row r="453" ht="15.75" customHeight="1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</row>
    <row r="454" ht="15.75" customHeight="1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</row>
    <row r="455" ht="15.75" customHeight="1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</row>
    <row r="456" ht="15.75" customHeight="1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</row>
    <row r="457" ht="15.75" customHeight="1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</row>
    <row r="458" ht="15.75" customHeight="1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</row>
    <row r="459" ht="15.75" customHeight="1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</row>
    <row r="460" ht="15.75" customHeight="1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</row>
    <row r="461" ht="15.75" customHeight="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</row>
    <row r="462" ht="15.75" customHeight="1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</row>
    <row r="463" ht="15.75" customHeight="1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</row>
    <row r="464" ht="15.75" customHeight="1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</row>
    <row r="465" ht="15.75" customHeight="1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</row>
    <row r="466" ht="15.75" customHeight="1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</row>
    <row r="467" ht="15.75" customHeight="1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</row>
    <row r="468" ht="15.75" customHeight="1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</row>
    <row r="469" ht="15.75" customHeight="1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</row>
    <row r="470" ht="15.75" customHeight="1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</row>
    <row r="471" ht="15.75" customHeight="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</row>
    <row r="472" ht="15.75" customHeight="1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</row>
    <row r="473" ht="15.75" customHeight="1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</row>
    <row r="474" ht="15.75" customHeight="1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</row>
    <row r="475" ht="15.75" customHeight="1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</row>
    <row r="476" ht="15.75" customHeight="1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</row>
    <row r="477" ht="15.75" customHeight="1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</row>
    <row r="478" ht="15.75" customHeight="1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</row>
    <row r="479" ht="15.75" customHeight="1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</row>
    <row r="480" ht="15.75" customHeight="1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</row>
    <row r="481" ht="15.75" customHeight="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</row>
    <row r="482" ht="15.75" customHeight="1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</row>
    <row r="483" ht="15.75" customHeight="1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</row>
    <row r="484" ht="15.75" customHeight="1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</row>
    <row r="485" ht="15.75" customHeight="1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</row>
    <row r="486" ht="15.75" customHeight="1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</row>
    <row r="487" ht="15.75" customHeight="1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</row>
    <row r="488" ht="15.75" customHeight="1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</row>
    <row r="489" ht="15.75" customHeight="1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</row>
    <row r="490" ht="15.75" customHeight="1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</row>
    <row r="491" ht="15.75" customHeight="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</row>
    <row r="492" ht="15.75" customHeight="1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</row>
    <row r="493" ht="15.75" customHeight="1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</row>
    <row r="494" ht="15.75" customHeight="1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</row>
    <row r="495" ht="15.75" customHeight="1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</row>
    <row r="496" ht="15.75" customHeight="1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</row>
    <row r="497" ht="15.75" customHeight="1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</row>
    <row r="498" ht="15.75" customHeight="1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</row>
    <row r="499" ht="15.75" customHeight="1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</row>
    <row r="500" ht="15.75" customHeight="1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</row>
    <row r="501" ht="15.75" customHeight="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</row>
    <row r="502" ht="15.75" customHeight="1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</row>
    <row r="503" ht="15.75" customHeight="1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</row>
    <row r="504" ht="15.75" customHeight="1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</row>
    <row r="505" ht="15.75" customHeight="1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</row>
    <row r="506" ht="15.75" customHeight="1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</row>
    <row r="507" ht="15.75" customHeight="1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</row>
    <row r="508" ht="15.75" customHeight="1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</row>
    <row r="509" ht="15.75" customHeight="1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</row>
    <row r="510" ht="15.75" customHeight="1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</row>
    <row r="511" ht="15.75" customHeight="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</row>
    <row r="512" ht="15.75" customHeight="1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</row>
    <row r="513" ht="15.75" customHeight="1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</row>
    <row r="514" ht="15.75" customHeight="1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</row>
    <row r="515" ht="15.75" customHeight="1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</row>
    <row r="516" ht="15.75" customHeight="1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</row>
    <row r="517" ht="15.75" customHeight="1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</row>
    <row r="518" ht="15.75" customHeight="1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</row>
    <row r="519" ht="15.75" customHeight="1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</row>
    <row r="520" ht="15.75" customHeight="1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</row>
    <row r="521" ht="15.75" customHeight="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</row>
    <row r="522" ht="15.75" customHeight="1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</row>
    <row r="523" ht="15.75" customHeight="1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</row>
    <row r="524" ht="15.75" customHeight="1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</row>
    <row r="525" ht="15.75" customHeight="1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</row>
    <row r="526" ht="15.75" customHeight="1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</row>
    <row r="527" ht="15.75" customHeight="1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</row>
    <row r="528" ht="15.75" customHeight="1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</row>
    <row r="529" ht="15.75" customHeight="1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</row>
    <row r="530" ht="15.75" customHeight="1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</row>
    <row r="531" ht="15.75" customHeight="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</row>
    <row r="532" ht="15.75" customHeight="1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</row>
    <row r="533" ht="15.75" customHeight="1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</row>
    <row r="534" ht="15.75" customHeight="1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</row>
    <row r="535" ht="15.75" customHeight="1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</row>
    <row r="536" ht="15.75" customHeight="1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</row>
    <row r="537" ht="15.75" customHeight="1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</row>
    <row r="538" ht="15.75" customHeight="1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</row>
    <row r="539" ht="15.75" customHeight="1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</row>
    <row r="540" ht="15.75" customHeight="1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</row>
    <row r="541" ht="15.75" customHeight="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</row>
    <row r="542" ht="15.75" customHeight="1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</row>
    <row r="543" ht="15.75" customHeight="1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</row>
    <row r="544" ht="15.75" customHeight="1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</row>
    <row r="545" ht="15.75" customHeight="1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</row>
    <row r="546" ht="15.75" customHeight="1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</row>
    <row r="547" ht="15.75" customHeight="1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</row>
    <row r="548" ht="15.75" customHeight="1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</row>
    <row r="549" ht="15.75" customHeight="1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</row>
    <row r="550" ht="15.75" customHeight="1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</row>
    <row r="551" ht="15.75" customHeight="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</row>
    <row r="552" ht="15.75" customHeight="1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</row>
    <row r="553" ht="15.75" customHeight="1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</row>
    <row r="554" ht="15.75" customHeight="1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</row>
    <row r="555" ht="15.75" customHeight="1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</row>
    <row r="556" ht="15.75" customHeight="1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</row>
    <row r="557" ht="15.75" customHeight="1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</row>
    <row r="558" ht="15.75" customHeight="1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</row>
    <row r="559" ht="15.75" customHeight="1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</row>
    <row r="560" ht="15.75" customHeight="1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</row>
    <row r="561" ht="15.75" customHeight="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</row>
    <row r="562" ht="15.75" customHeight="1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</row>
    <row r="563" ht="15.75" customHeight="1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</row>
    <row r="564" ht="15.75" customHeight="1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</row>
    <row r="565" ht="15.75" customHeight="1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</row>
    <row r="566" ht="15.75" customHeight="1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</row>
    <row r="567" ht="15.75" customHeight="1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</row>
    <row r="568" ht="15.75" customHeight="1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</row>
    <row r="569" ht="15.75" customHeight="1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</row>
    <row r="570" ht="15.75" customHeight="1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</row>
    <row r="571" ht="15.75" customHeight="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</row>
    <row r="572" ht="15.75" customHeight="1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</row>
    <row r="573" ht="15.75" customHeight="1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</row>
    <row r="574" ht="15.75" customHeight="1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</row>
    <row r="575" ht="15.75" customHeight="1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</row>
    <row r="576" ht="15.75" customHeight="1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</row>
    <row r="577" ht="15.75" customHeight="1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</row>
    <row r="578" ht="15.75" customHeight="1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</row>
    <row r="579" ht="15.75" customHeight="1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</row>
    <row r="580" ht="15.75" customHeight="1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</row>
    <row r="581" ht="15.75" customHeight="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</row>
    <row r="582" ht="15.75" customHeight="1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</row>
    <row r="583" ht="15.75" customHeight="1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</row>
    <row r="584" ht="15.75" customHeight="1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</row>
    <row r="585" ht="15.75" customHeight="1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</row>
    <row r="586" ht="15.75" customHeight="1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</row>
    <row r="587" ht="15.75" customHeight="1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</row>
    <row r="588" ht="15.75" customHeight="1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</row>
    <row r="589" ht="15.75" customHeight="1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</row>
    <row r="590" ht="15.75" customHeight="1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</row>
    <row r="591" ht="15.75" customHeight="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</row>
    <row r="592" ht="15.75" customHeight="1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</row>
    <row r="593" ht="15.75" customHeight="1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</row>
    <row r="594" ht="15.75" customHeight="1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</row>
    <row r="595" ht="15.75" customHeight="1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</row>
    <row r="596" ht="15.75" customHeight="1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</row>
    <row r="597" ht="15.75" customHeight="1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</row>
    <row r="598" ht="15.75" customHeight="1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</row>
    <row r="599" ht="15.75" customHeight="1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</row>
    <row r="600" ht="15.75" customHeight="1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</row>
    <row r="601" ht="15.75" customHeight="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</row>
    <row r="602" ht="15.75" customHeight="1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</row>
    <row r="603" ht="15.75" customHeight="1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</row>
    <row r="604" ht="15.75" customHeight="1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</row>
    <row r="605" ht="15.75" customHeight="1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</row>
    <row r="606" ht="15.75" customHeight="1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</row>
    <row r="607" ht="15.75" customHeight="1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</row>
    <row r="608" ht="15.75" customHeight="1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</row>
    <row r="609" ht="15.75" customHeight="1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</row>
    <row r="610" ht="15.75" customHeight="1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</row>
    <row r="611" ht="15.75" customHeight="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</row>
    <row r="612" ht="15.75" customHeight="1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</row>
    <row r="613" ht="15.75" customHeight="1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</row>
    <row r="614" ht="15.75" customHeight="1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</row>
    <row r="615" ht="15.75" customHeight="1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</row>
    <row r="616" ht="15.75" customHeight="1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</row>
    <row r="617" ht="15.75" customHeight="1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</row>
    <row r="618" ht="15.75" customHeight="1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</row>
    <row r="619" ht="15.75" customHeight="1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</row>
    <row r="620" ht="15.75" customHeight="1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</row>
    <row r="621" ht="15.75" customHeight="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</row>
    <row r="622" ht="15.75" customHeight="1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</row>
    <row r="623" ht="15.75" customHeight="1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</row>
    <row r="624" ht="15.75" customHeight="1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</row>
    <row r="625" ht="15.75" customHeight="1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</row>
    <row r="626" ht="15.75" customHeight="1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</row>
    <row r="627" ht="15.75" customHeight="1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</row>
    <row r="628" ht="15.75" customHeight="1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</row>
    <row r="629" ht="15.75" customHeight="1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</row>
    <row r="630" ht="15.75" customHeight="1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</row>
    <row r="631" ht="15.75" customHeight="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</row>
    <row r="632" ht="15.75" customHeight="1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</row>
    <row r="633" ht="15.75" customHeight="1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</row>
    <row r="634" ht="15.75" customHeight="1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</row>
    <row r="635" ht="15.75" customHeight="1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</row>
    <row r="636" ht="15.75" customHeight="1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</row>
    <row r="637" ht="15.75" customHeight="1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</row>
    <row r="638" ht="15.75" customHeight="1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</row>
    <row r="639" ht="15.75" customHeight="1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</row>
    <row r="640" ht="15.75" customHeight="1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</row>
    <row r="641" ht="15.75" customHeight="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</row>
    <row r="642" ht="15.75" customHeight="1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</row>
    <row r="643" ht="15.75" customHeight="1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</row>
    <row r="644" ht="15.75" customHeight="1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</row>
    <row r="645" ht="15.75" customHeight="1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</row>
    <row r="646" ht="15.75" customHeight="1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</row>
    <row r="647" ht="15.75" customHeight="1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</row>
    <row r="648" ht="15.75" customHeight="1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</row>
    <row r="649" ht="15.75" customHeight="1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</row>
    <row r="650" ht="15.75" customHeight="1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</row>
    <row r="651" ht="15.75" customHeight="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</row>
    <row r="652" ht="15.75" customHeight="1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</row>
    <row r="653" ht="15.75" customHeight="1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</row>
    <row r="654" ht="15.75" customHeight="1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</row>
    <row r="655" ht="15.75" customHeight="1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</row>
    <row r="656" ht="15.75" customHeight="1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</row>
    <row r="657" ht="15.75" customHeight="1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</row>
    <row r="658" ht="15.75" customHeight="1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</row>
    <row r="659" ht="15.75" customHeight="1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</row>
    <row r="660" ht="15.75" customHeight="1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</row>
    <row r="661" ht="15.75" customHeight="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</row>
    <row r="662" ht="15.75" customHeight="1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</row>
    <row r="663" ht="15.75" customHeight="1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</row>
    <row r="664" ht="15.75" customHeight="1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</row>
    <row r="665" ht="15.75" customHeight="1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</row>
    <row r="666" ht="15.75" customHeight="1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</row>
    <row r="667" ht="15.75" customHeight="1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</row>
    <row r="668" ht="15.75" customHeight="1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</row>
    <row r="669" ht="15.75" customHeight="1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</row>
    <row r="670" ht="15.75" customHeight="1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</row>
    <row r="671" ht="15.75" customHeight="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</row>
    <row r="672" ht="15.75" customHeight="1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</row>
    <row r="673" ht="15.75" customHeight="1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</row>
    <row r="674" ht="15.75" customHeight="1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</row>
    <row r="675" ht="15.75" customHeight="1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</row>
    <row r="676" ht="15.75" customHeight="1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</row>
    <row r="677" ht="15.75" customHeight="1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</row>
    <row r="678" ht="15.75" customHeight="1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</row>
    <row r="679" ht="15.75" customHeight="1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</row>
    <row r="680" ht="15.75" customHeight="1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</row>
    <row r="681" ht="15.75" customHeight="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</row>
    <row r="682" ht="15.75" customHeight="1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</row>
    <row r="683" ht="15.75" customHeight="1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</row>
    <row r="684" ht="15.75" customHeight="1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</row>
    <row r="685" ht="15.75" customHeight="1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</row>
    <row r="686" ht="15.75" customHeight="1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</row>
    <row r="687" ht="15.75" customHeight="1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</row>
    <row r="688" ht="15.75" customHeight="1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</row>
    <row r="689" ht="15.75" customHeight="1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</row>
    <row r="690" ht="15.75" customHeight="1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</row>
    <row r="691" ht="15.75" customHeight="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</row>
    <row r="692" ht="15.75" customHeight="1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</row>
    <row r="693" ht="15.75" customHeight="1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</row>
    <row r="694" ht="15.75" customHeight="1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</row>
    <row r="695" ht="15.75" customHeight="1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</row>
    <row r="696" ht="15.75" customHeight="1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</row>
    <row r="697" ht="15.75" customHeight="1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</row>
    <row r="698" ht="15.75" customHeight="1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</row>
    <row r="699" ht="15.75" customHeight="1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</row>
    <row r="700" ht="15.75" customHeight="1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</row>
    <row r="701" ht="15.75" customHeight="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</row>
    <row r="702" ht="15.75" customHeight="1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</row>
    <row r="703" ht="15.75" customHeight="1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</row>
    <row r="704" ht="15.75" customHeight="1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</row>
    <row r="705" ht="15.75" customHeight="1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</row>
    <row r="706" ht="15.75" customHeight="1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</row>
    <row r="707" ht="15.75" customHeight="1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</row>
    <row r="708" ht="15.75" customHeight="1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</row>
    <row r="709" ht="15.75" customHeight="1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</row>
    <row r="710" ht="15.75" customHeight="1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</row>
    <row r="711" ht="15.75" customHeight="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</row>
    <row r="712" ht="15.75" customHeight="1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</row>
    <row r="713" ht="15.75" customHeight="1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</row>
    <row r="714" ht="15.75" customHeight="1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</row>
    <row r="715" ht="15.75" customHeight="1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</row>
    <row r="716" ht="15.75" customHeight="1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</row>
    <row r="717" ht="15.75" customHeight="1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</row>
    <row r="718" ht="15.75" customHeight="1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</row>
    <row r="719" ht="15.75" customHeight="1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</row>
    <row r="720" ht="15.75" customHeight="1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</row>
    <row r="721" ht="15.75" customHeight="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</row>
    <row r="722" ht="15.75" customHeight="1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</row>
    <row r="723" ht="15.75" customHeight="1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</row>
    <row r="724" ht="15.75" customHeight="1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</row>
    <row r="725" ht="15.75" customHeight="1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</row>
    <row r="726" ht="15.75" customHeight="1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</row>
    <row r="727" ht="15.75" customHeight="1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</row>
    <row r="728" ht="15.75" customHeight="1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</row>
    <row r="729" ht="15.75" customHeight="1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</row>
    <row r="730" ht="15.75" customHeight="1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</row>
    <row r="731" ht="15.75" customHeight="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</row>
    <row r="732" ht="15.75" customHeight="1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</row>
    <row r="733" ht="15.75" customHeight="1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</row>
    <row r="734" ht="15.75" customHeight="1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</row>
    <row r="735" ht="15.75" customHeight="1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</row>
    <row r="736" ht="15.75" customHeight="1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</row>
    <row r="737" ht="15.75" customHeight="1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</row>
    <row r="738" ht="15.75" customHeight="1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</row>
    <row r="739" ht="15.75" customHeight="1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</row>
    <row r="740" ht="15.75" customHeight="1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</row>
    <row r="741" ht="15.75" customHeight="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</row>
    <row r="742" ht="15.75" customHeight="1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</row>
    <row r="743" ht="15.75" customHeight="1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</row>
    <row r="744" ht="15.75" customHeight="1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</row>
    <row r="745" ht="15.75" customHeight="1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</row>
    <row r="746" ht="15.75" customHeight="1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</row>
    <row r="747" ht="15.75" customHeight="1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</row>
    <row r="748" ht="15.75" customHeight="1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</row>
    <row r="749" ht="15.75" customHeight="1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</row>
    <row r="750" ht="15.75" customHeight="1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</row>
    <row r="751" ht="15.75" customHeight="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</row>
    <row r="752" ht="15.75" customHeight="1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</row>
    <row r="753" ht="15.75" customHeight="1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</row>
    <row r="754" ht="15.75" customHeight="1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</row>
    <row r="755" ht="15.75" customHeight="1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</row>
    <row r="756" ht="15.75" customHeight="1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</row>
    <row r="757" ht="15.75" customHeight="1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</row>
    <row r="758" ht="15.75" customHeight="1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</row>
    <row r="759" ht="15.75" customHeight="1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</row>
    <row r="760" ht="15.75" customHeight="1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</row>
    <row r="761" ht="15.75" customHeight="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</row>
    <row r="762" ht="15.75" customHeight="1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</row>
    <row r="763" ht="15.75" customHeight="1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</row>
    <row r="764" ht="15.75" customHeight="1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</row>
    <row r="765" ht="15.75" customHeight="1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</row>
    <row r="766" ht="15.75" customHeight="1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</row>
    <row r="767" ht="15.75" customHeight="1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</row>
    <row r="768" ht="15.75" customHeight="1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</row>
    <row r="769" ht="15.75" customHeight="1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</row>
    <row r="770" ht="15.75" customHeight="1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</row>
    <row r="771" ht="15.75" customHeight="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</row>
    <row r="772" ht="15.75" customHeight="1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</row>
    <row r="773" ht="15.75" customHeight="1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</row>
    <row r="774" ht="15.75" customHeight="1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</row>
    <row r="775" ht="15.75" customHeight="1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</row>
    <row r="776" ht="15.75" customHeight="1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</row>
    <row r="777" ht="15.75" customHeight="1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</row>
    <row r="778" ht="15.75" customHeight="1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</row>
    <row r="779" ht="15.75" customHeight="1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</row>
    <row r="780" ht="15.75" customHeight="1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</row>
    <row r="781" ht="15.75" customHeight="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</row>
    <row r="782" ht="15.75" customHeight="1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</row>
    <row r="783" ht="15.75" customHeight="1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</row>
    <row r="784" ht="15.75" customHeight="1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</row>
    <row r="785" ht="15.75" customHeight="1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</row>
    <row r="786" ht="15.75" customHeight="1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</row>
    <row r="787" ht="15.75" customHeight="1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</row>
    <row r="788" ht="15.75" customHeight="1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</row>
    <row r="789" ht="15.75" customHeight="1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</row>
    <row r="790" ht="15.75" customHeight="1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</row>
    <row r="791" ht="15.75" customHeight="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</row>
    <row r="792" ht="15.75" customHeight="1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</row>
    <row r="793" ht="15.75" customHeight="1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</row>
    <row r="794" ht="15.75" customHeight="1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</row>
    <row r="795" ht="15.75" customHeight="1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</row>
    <row r="796" ht="15.75" customHeight="1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</row>
    <row r="797" ht="15.75" customHeight="1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</row>
    <row r="798" ht="15.75" customHeight="1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</row>
    <row r="799" ht="15.75" customHeight="1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</row>
    <row r="800" ht="15.75" customHeight="1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</row>
    <row r="801" ht="15.75" customHeight="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</row>
    <row r="802" ht="15.75" customHeight="1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</row>
    <row r="803" ht="15.75" customHeight="1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</row>
    <row r="804" ht="15.75" customHeight="1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</row>
    <row r="805" ht="15.75" customHeight="1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</row>
    <row r="806" ht="15.75" customHeight="1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</row>
    <row r="807" ht="15.75" customHeight="1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</row>
    <row r="808" ht="15.75" customHeight="1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</row>
    <row r="809" ht="15.75" customHeight="1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</row>
    <row r="810" ht="15.75" customHeight="1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</row>
    <row r="811" ht="15.75" customHeight="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</row>
    <row r="812" ht="15.75" customHeight="1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</row>
    <row r="813" ht="15.75" customHeight="1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</row>
    <row r="814" ht="15.75" customHeight="1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</row>
    <row r="815" ht="15.75" customHeight="1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</row>
    <row r="816" ht="15.75" customHeight="1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</row>
    <row r="817" ht="15.75" customHeight="1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</row>
    <row r="818" ht="15.75" customHeight="1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</row>
    <row r="819" ht="15.75" customHeight="1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</row>
    <row r="820" ht="15.75" customHeight="1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</row>
    <row r="821" ht="15.75" customHeight="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</row>
    <row r="822" ht="15.75" customHeight="1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</row>
    <row r="823" ht="15.75" customHeight="1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</row>
    <row r="824" ht="15.75" customHeight="1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</row>
    <row r="825" ht="15.75" customHeight="1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</row>
    <row r="826" ht="15.75" customHeight="1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</row>
    <row r="827" ht="15.75" customHeight="1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</row>
    <row r="828" ht="15.75" customHeight="1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</row>
    <row r="829" ht="15.75" customHeight="1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</row>
    <row r="830" ht="15.75" customHeight="1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</row>
    <row r="831" ht="15.75" customHeight="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</row>
    <row r="832" ht="15.75" customHeight="1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</row>
    <row r="833" ht="15.75" customHeight="1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</row>
    <row r="834" ht="15.75" customHeight="1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</row>
    <row r="835" ht="15.75" customHeight="1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</row>
    <row r="836" ht="15.75" customHeight="1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</row>
    <row r="837" ht="15.75" customHeight="1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</row>
    <row r="838" ht="15.75" customHeight="1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</row>
    <row r="839" ht="15.75" customHeight="1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</row>
    <row r="840" ht="15.75" customHeight="1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</row>
    <row r="841" ht="15.75" customHeight="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</row>
    <row r="842" ht="15.75" customHeight="1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</row>
    <row r="843" ht="15.75" customHeight="1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</row>
    <row r="844" ht="15.75" customHeight="1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</row>
    <row r="845" ht="15.75" customHeight="1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</row>
    <row r="846" ht="15.75" customHeight="1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</row>
    <row r="847" ht="15.75" customHeight="1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</row>
    <row r="848" ht="15.75" customHeight="1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</row>
    <row r="849" ht="15.75" customHeight="1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</row>
    <row r="850" ht="15.75" customHeight="1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</row>
    <row r="851" ht="15.75" customHeight="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</row>
    <row r="852" ht="15.75" customHeight="1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</row>
    <row r="853" ht="15.75" customHeight="1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</row>
    <row r="854" ht="15.75" customHeight="1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</row>
    <row r="855" ht="15.75" customHeight="1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</row>
    <row r="856" ht="15.75" customHeight="1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</row>
    <row r="857" ht="15.75" customHeight="1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</row>
    <row r="858" ht="15.75" customHeight="1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</row>
    <row r="859" ht="15.75" customHeight="1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</row>
    <row r="860" ht="15.75" customHeight="1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</row>
    <row r="861" ht="15.75" customHeight="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</row>
    <row r="862" ht="15.75" customHeight="1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</row>
    <row r="863" ht="15.75" customHeight="1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</row>
    <row r="864" ht="15.75" customHeight="1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</row>
    <row r="865" ht="15.75" customHeight="1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</row>
    <row r="866" ht="15.75" customHeight="1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</row>
    <row r="867" ht="15.75" customHeight="1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</row>
    <row r="868" ht="15.75" customHeight="1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</row>
    <row r="869" ht="15.75" customHeight="1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</row>
    <row r="870" ht="15.75" customHeight="1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</row>
    <row r="871" ht="15.75" customHeight="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</row>
    <row r="872" ht="15.75" customHeight="1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</row>
    <row r="873" ht="15.75" customHeight="1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</row>
    <row r="874" ht="15.75" customHeight="1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</row>
    <row r="875" ht="15.75" customHeight="1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</row>
    <row r="876" ht="15.75" customHeight="1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</row>
    <row r="877" ht="15.75" customHeight="1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</row>
    <row r="878" ht="15.75" customHeight="1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</row>
    <row r="879" ht="15.75" customHeight="1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</row>
    <row r="880" ht="15.75" customHeight="1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</row>
    <row r="881" ht="15.75" customHeight="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</row>
    <row r="882" ht="15.75" customHeight="1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</row>
    <row r="883" ht="15.75" customHeight="1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</row>
    <row r="884" ht="15.75" customHeight="1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</row>
    <row r="885" ht="15.75" customHeight="1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</row>
    <row r="886" ht="15.75" customHeight="1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</row>
    <row r="887" ht="15.75" customHeight="1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</row>
    <row r="888" ht="15.75" customHeight="1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</row>
    <row r="889" ht="15.75" customHeight="1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</row>
    <row r="890" ht="15.75" customHeight="1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</row>
    <row r="891" ht="15.75" customHeight="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</row>
    <row r="892" ht="15.75" customHeight="1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</row>
    <row r="893" ht="15.75" customHeight="1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</row>
    <row r="894" ht="15.75" customHeight="1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</row>
    <row r="895" ht="15.75" customHeight="1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</row>
    <row r="896" ht="15.75" customHeight="1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</row>
    <row r="897" ht="15.75" customHeight="1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</row>
    <row r="898" ht="15.75" customHeight="1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</row>
    <row r="899" ht="15.75" customHeight="1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</row>
    <row r="900" ht="15.75" customHeight="1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</row>
    <row r="901" ht="15.75" customHeight="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</row>
    <row r="902" ht="15.75" customHeight="1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</row>
    <row r="903" ht="15.75" customHeight="1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</row>
    <row r="904" ht="15.75" customHeight="1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</row>
    <row r="905" ht="15.75" customHeight="1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</row>
    <row r="906" ht="15.75" customHeight="1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</row>
    <row r="907" ht="15.75" customHeight="1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</row>
    <row r="908" ht="15.75" customHeight="1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</row>
    <row r="909" ht="15.75" customHeight="1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</row>
    <row r="910" ht="15.75" customHeight="1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</row>
    <row r="911" ht="15.75" customHeight="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</row>
    <row r="912" ht="15.75" customHeight="1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</row>
    <row r="913" ht="15.75" customHeight="1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</row>
    <row r="914" ht="15.75" customHeight="1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</row>
    <row r="915" ht="15.75" customHeight="1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</row>
    <row r="916" ht="15.75" customHeight="1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</row>
    <row r="917" ht="15.75" customHeight="1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</row>
    <row r="918" ht="15.75" customHeight="1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</row>
    <row r="919" ht="15.75" customHeight="1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</row>
    <row r="920" ht="15.75" customHeight="1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</row>
    <row r="921" ht="15.75" customHeight="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</row>
    <row r="922" ht="15.75" customHeight="1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</row>
    <row r="923" ht="15.75" customHeight="1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</row>
    <row r="924" ht="15.75" customHeight="1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</row>
    <row r="925" ht="15.75" customHeight="1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</row>
    <row r="926" ht="15.75" customHeight="1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</row>
    <row r="927" ht="15.75" customHeight="1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</row>
    <row r="928" ht="15.75" customHeight="1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</row>
    <row r="929" ht="15.75" customHeight="1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</row>
    <row r="930" ht="15.75" customHeight="1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</row>
    <row r="931" ht="15.75" customHeight="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</row>
    <row r="932" ht="15.75" customHeight="1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</row>
    <row r="933" ht="15.75" customHeight="1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</row>
    <row r="934" ht="15.75" customHeight="1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</row>
    <row r="935" ht="15.75" customHeight="1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</row>
    <row r="936" ht="15.75" customHeight="1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</row>
    <row r="937" ht="15.75" customHeight="1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</row>
    <row r="938" ht="15.75" customHeight="1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</row>
    <row r="939" ht="15.75" customHeight="1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</row>
    <row r="940" ht="15.75" customHeight="1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</row>
    <row r="941" ht="15.75" customHeight="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</row>
    <row r="942" ht="15.75" customHeight="1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</row>
    <row r="943" ht="15.75" customHeight="1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</row>
    <row r="944" ht="15.75" customHeight="1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</row>
    <row r="945" ht="15.75" customHeight="1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</row>
    <row r="946" ht="15.75" customHeight="1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</row>
    <row r="947" ht="15.75" customHeight="1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</row>
    <row r="948" ht="15.75" customHeight="1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</row>
    <row r="949" ht="15.75" customHeight="1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</row>
    <row r="950" ht="15.75" customHeight="1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</row>
    <row r="951" ht="15.75" customHeight="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</row>
    <row r="952" ht="15.75" customHeight="1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</row>
    <row r="953" ht="15.75" customHeight="1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</row>
    <row r="954" ht="15.75" customHeight="1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</row>
    <row r="955" ht="15.75" customHeight="1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</row>
    <row r="956" ht="15.75" customHeight="1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</row>
    <row r="957" ht="15.75" customHeight="1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</row>
    <row r="958" ht="15.75" customHeight="1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</row>
    <row r="959" ht="15.75" customHeight="1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</row>
    <row r="960" ht="15.75" customHeight="1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</row>
    <row r="961" ht="15.75" customHeight="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</row>
    <row r="962" ht="15.75" customHeight="1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</row>
    <row r="963" ht="15.75" customHeight="1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</row>
    <row r="964" ht="15.75" customHeight="1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</row>
    <row r="965" ht="15.75" customHeight="1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</row>
    <row r="966" ht="15.75" customHeight="1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</row>
    <row r="967" ht="15.75" customHeight="1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</row>
    <row r="968" ht="15.75" customHeight="1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</row>
    <row r="969" ht="15.75" customHeight="1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</row>
    <row r="970" ht="15.75" customHeight="1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</row>
    <row r="971" ht="15.75" customHeight="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</row>
    <row r="972" ht="15.75" customHeight="1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</row>
    <row r="973" ht="15.75" customHeight="1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</row>
    <row r="974" ht="15.75" customHeight="1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</row>
    <row r="975" ht="15.75" customHeight="1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</row>
    <row r="976" ht="15.75" customHeight="1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</row>
    <row r="977" ht="15.75" customHeight="1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</row>
    <row r="978" ht="15.75" customHeight="1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</row>
    <row r="979" ht="15.75" customHeight="1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</row>
    <row r="980" ht="15.75" customHeight="1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</row>
    <row r="981" ht="15.75" customHeight="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</row>
    <row r="982" ht="15.75" customHeight="1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</row>
    <row r="983" ht="15.75" customHeight="1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</row>
    <row r="984" ht="15.75" customHeight="1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</row>
    <row r="985" ht="15.75" customHeight="1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</row>
    <row r="986" ht="15.75" customHeight="1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</row>
    <row r="987" ht="15.75" customHeight="1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</row>
    <row r="988" ht="15.75" customHeight="1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</row>
    <row r="989" ht="15.75" customHeight="1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</row>
    <row r="990" ht="15.75" customHeight="1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</row>
    <row r="991" ht="15.75" customHeight="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</row>
    <row r="992" ht="15.75" customHeight="1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</row>
    <row r="993" ht="15.75" customHeight="1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</row>
    <row r="994" ht="15.75" customHeight="1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</row>
    <row r="995" ht="15.75" customHeight="1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</row>
    <row r="996" ht="15.75" customHeight="1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</row>
    <row r="997" ht="15.75" customHeight="1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</row>
    <row r="998" ht="15.75" customHeight="1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</row>
    <row r="999" ht="15.75" customHeight="1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</row>
    <row r="1000" ht="15.75" customHeight="1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</row>
  </sheetData>
  <autoFilter ref="$A$2:$AN$367"/>
  <mergeCells count="1">
    <mergeCell ref="A1:AN1"/>
  </mergeCells>
  <hyperlinks>
    <hyperlink r:id="rId2" ref="L28"/>
    <hyperlink r:id="rId3" ref="L40"/>
    <hyperlink r:id="rId4" ref="L70"/>
    <hyperlink r:id="rId5" ref="L95"/>
    <hyperlink r:id="rId6" ref="L106"/>
    <hyperlink r:id="rId7" ref="L108"/>
    <hyperlink r:id="rId8" ref="L134"/>
    <hyperlink r:id="rId9" ref="L136"/>
    <hyperlink r:id="rId10" ref="L141"/>
    <hyperlink r:id="rId11" ref="L153"/>
  </hyperlinks>
  <printOptions/>
  <pageMargins bottom="0.75" footer="0.0" header="0.0" left="0.25" right="0.25" top="0.75"/>
  <pageSetup fitToHeight="0" orientation="landscape"/>
  <headerFooter>
    <oddFooter>&amp;RListado Laboratorio por Empresa &amp;D</oddFooter>
  </headerFooter>
  <drawing r:id="rId12"/>
  <legacyDrawing r:id="rId1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2025-04-01T20:32:44Z</dcterms:created>
  <dc:creator>Diego Cabrera Leiva</dc:creator>
</cp:coreProperties>
</file>